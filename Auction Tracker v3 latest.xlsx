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C\Desktop\auction-dashboard\"/>
    </mc:Choice>
  </mc:AlternateContent>
  <xr:revisionPtr revIDLastSave="0" documentId="13_ncr:1_{E4E20823-5098-4532-A1AD-33E1A5432AE8}" xr6:coauthVersionLast="47" xr6:coauthVersionMax="47" xr10:uidLastSave="{00000000-0000-0000-0000-000000000000}"/>
  <bookViews>
    <workbookView xWindow="-108" yWindow="-108" windowWidth="23256" windowHeight="12576" activeTab="2" xr2:uid="{00000000-000D-0000-FFFF-FFFF00000000}"/>
  </bookViews>
  <sheets>
    <sheet name="Form responses 1" sheetId="1" r:id="rId1"/>
    <sheet name="Player_DB" sheetId="2" r:id="rId2"/>
    <sheet name="Clean_Player_DB" sheetId="4" r:id="rId3"/>
    <sheet name="Seeding" sheetId="3" r:id="rId4"/>
  </sheets>
  <definedNames>
    <definedName name="_xlnm._FilterDatabase" localSheetId="0" hidden="1">'Form responses 1'!$A$1:$O$45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2" l="1"/>
  <c r="L2" i="2"/>
  <c r="N34" i="2"/>
  <c r="L34" i="2"/>
  <c r="N27" i="2"/>
  <c r="L27" i="2"/>
  <c r="N36" i="2"/>
  <c r="L36" i="2"/>
  <c r="N11" i="2"/>
  <c r="L11" i="2"/>
  <c r="N44" i="2"/>
  <c r="L44" i="2"/>
  <c r="N26" i="2"/>
  <c r="L26" i="2"/>
  <c r="N45" i="2"/>
  <c r="L45" i="2"/>
  <c r="N5" i="2"/>
  <c r="L5" i="2"/>
  <c r="N21" i="2"/>
  <c r="L21" i="2"/>
  <c r="N14" i="2"/>
  <c r="L14" i="2"/>
  <c r="N33" i="2"/>
  <c r="L33" i="2"/>
  <c r="N38" i="2"/>
  <c r="L38" i="2"/>
  <c r="N6" i="2"/>
  <c r="L6" i="2"/>
  <c r="N29" i="2"/>
  <c r="L29" i="2"/>
  <c r="N13" i="2"/>
  <c r="L13" i="2"/>
  <c r="N16" i="2"/>
  <c r="L16" i="2"/>
  <c r="N12" i="2"/>
  <c r="L12" i="2"/>
  <c r="N23" i="2"/>
  <c r="L23" i="2"/>
  <c r="N37" i="2"/>
  <c r="L37" i="2"/>
  <c r="N4" i="2"/>
  <c r="L4" i="2"/>
  <c r="N25" i="2"/>
  <c r="L25" i="2"/>
  <c r="N42" i="2"/>
  <c r="L42" i="2"/>
  <c r="N19" i="2"/>
  <c r="L19" i="2"/>
  <c r="N3" i="2"/>
  <c r="L3" i="2"/>
  <c r="N24" i="2"/>
  <c r="L24" i="2"/>
  <c r="N46" i="2"/>
  <c r="L46" i="2"/>
  <c r="N28" i="2"/>
  <c r="L28" i="2"/>
  <c r="N32" i="2"/>
  <c r="L32" i="2"/>
  <c r="N31" i="2"/>
  <c r="L31" i="2"/>
  <c r="N18" i="2"/>
  <c r="L18" i="2"/>
  <c r="N43" i="2"/>
  <c r="L43" i="2"/>
  <c r="N17" i="2"/>
  <c r="L17" i="2"/>
  <c r="N40" i="2"/>
  <c r="L40" i="2"/>
  <c r="N8" i="2"/>
  <c r="L8" i="2"/>
  <c r="N15" i="2"/>
  <c r="L15" i="2"/>
  <c r="N39" i="2"/>
  <c r="L39" i="2"/>
  <c r="N9" i="2"/>
  <c r="L9" i="2"/>
  <c r="N35" i="2"/>
  <c r="L35" i="2"/>
  <c r="N20" i="2"/>
  <c r="L20" i="2"/>
  <c r="N41" i="2"/>
  <c r="L41" i="2"/>
  <c r="N30" i="2"/>
  <c r="L30" i="2"/>
  <c r="N22" i="2"/>
  <c r="L22" i="2"/>
  <c r="N10" i="2"/>
  <c r="L10" i="2"/>
  <c r="N7" i="2"/>
  <c r="L7" i="2"/>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Q4" i="1"/>
  <c r="R4" i="1" s="1"/>
  <c r="P4" i="1"/>
  <c r="M4" i="1"/>
  <c r="M3" i="1"/>
  <c r="Q2" i="1"/>
  <c r="R2" i="1" s="1"/>
  <c r="M2" i="1"/>
</calcChain>
</file>

<file path=xl/sharedStrings.xml><?xml version="1.0" encoding="utf-8"?>
<sst xmlns="http://schemas.openxmlformats.org/spreadsheetml/2006/main" count="780" uniqueCount="214">
  <si>
    <t>Timestamp</t>
  </si>
  <si>
    <t>Name</t>
  </si>
  <si>
    <t>Whatsapp number</t>
  </si>
  <si>
    <t>Batting</t>
  </si>
  <si>
    <t>Bowling</t>
  </si>
  <si>
    <t>Bowling preference</t>
  </si>
  <si>
    <t>Rate yourself out of 10.</t>
  </si>
  <si>
    <t>Food preference</t>
  </si>
  <si>
    <t>Photo</t>
  </si>
  <si>
    <t>Any suggestions?</t>
  </si>
  <si>
    <t>Cricheroes number</t>
  </si>
  <si>
    <t>Payment</t>
  </si>
  <si>
    <t>Status</t>
  </si>
  <si>
    <t>Seeding</t>
  </si>
  <si>
    <t>Notes</t>
  </si>
  <si>
    <t>Total Players Needed</t>
  </si>
  <si>
    <t>Paid</t>
  </si>
  <si>
    <t>Remaining</t>
  </si>
  <si>
    <t>Arijit Roy</t>
  </si>
  <si>
    <t>Right hand batter</t>
  </si>
  <si>
    <t>Right arm bowler</t>
  </si>
  <si>
    <t>Both (bowler cannot switch in the same match)</t>
  </si>
  <si>
    <t>Non-veg</t>
  </si>
  <si>
    <t>https://drive.google.com/open?id=1GYoKt7n9nKtNm3OhdNXXuHfk5K4t1MNR</t>
  </si>
  <si>
    <t>Na</t>
  </si>
  <si>
    <t>Rising</t>
  </si>
  <si>
    <t>Aman Jaiswal</t>
  </si>
  <si>
    <t>https://drive.google.com/open?id=1MJQ-gAoGTHDsWvMIWkIIia2UQfQZ81tf</t>
  </si>
  <si>
    <t>I want to participate as a Captain.</t>
  </si>
  <si>
    <t>Captain</t>
  </si>
  <si>
    <t>Total Collection Required</t>
  </si>
  <si>
    <t>Collected</t>
  </si>
  <si>
    <t>Due</t>
  </si>
  <si>
    <t>Sawon Bhattacharya</t>
  </si>
  <si>
    <t>Full hand bowling</t>
  </si>
  <si>
    <t>https://drive.google.com/open?id=10r8HThmdwZImNTWnOAVBtjXoj0KwwwVc</t>
  </si>
  <si>
    <t>14Th June</t>
  </si>
  <si>
    <t>Harshit Jaiswal</t>
  </si>
  <si>
    <t>https://drive.google.com/open?id=1gtTHY8iXMM8gbEjsYjHhCmvGxeakzoX7</t>
  </si>
  <si>
    <t>No</t>
  </si>
  <si>
    <t>Icon</t>
  </si>
  <si>
    <t>Spandan Ganguly</t>
  </si>
  <si>
    <t>Throw</t>
  </si>
  <si>
    <t>https://drive.google.com/open?id=1S55Lf0_wBGR2SQDi56KOtK1pBMxfJMsu</t>
  </si>
  <si>
    <t xml:space="preserve">Nothing </t>
  </si>
  <si>
    <t>Impact</t>
  </si>
  <si>
    <t>Sankar Ghosh</t>
  </si>
  <si>
    <t>https://drive.google.com/open?id=1Cnu8DJMnlvHWgR4Etqe31cOJYT8_Eawh</t>
  </si>
  <si>
    <t>Arijit Lal</t>
  </si>
  <si>
    <t>https://drive.google.com/open?id=1dAQTAno74uagZag5__YHLgAZOpbXS0Yw</t>
  </si>
  <si>
    <t>Premium</t>
  </si>
  <si>
    <t>Shantanu Chakroborty</t>
  </si>
  <si>
    <t>https://drive.google.com/open?id=1BgSOK86f3Qx_n9R5no2mMg7_RIp4WdnX</t>
  </si>
  <si>
    <t>Bijon Mondal</t>
  </si>
  <si>
    <t>https://drive.google.com/open?id=18vnmc-ZsBTaPlSJMbDN4EwejSHk5pIaD</t>
  </si>
  <si>
    <t>Shyambazar Cricheroes</t>
  </si>
  <si>
    <t>Ankit Jaiswal</t>
  </si>
  <si>
    <t>https://drive.google.com/open?id=15H0dsU60tD86x1452Yom6E8R8ZdWWK_r</t>
  </si>
  <si>
    <t>Shubham Kumar</t>
  </si>
  <si>
    <t>https://drive.google.com/open?id=1gbXYoVE_ZCLO-96mCuopgHYqAavcU7Dm</t>
  </si>
  <si>
    <t>Anirban Paul</t>
  </si>
  <si>
    <t>https://drive.google.com/open?id=11icULVIJ75z_uRFxHyNwXan37eabOFkV</t>
  </si>
  <si>
    <t>Debashish Roy</t>
  </si>
  <si>
    <t>https://drive.google.com/open?id=12FsGW9yMtdQoicmkKV3JzeJrNNlrQcrx</t>
  </si>
  <si>
    <t xml:space="preserve">Timely match start karna </t>
  </si>
  <si>
    <t>Swapneel Chakraborty</t>
  </si>
  <si>
    <t>https://drive.google.com/open?id=1sfs6iMjc2X7cRm8zRwfi9-8pBg5bNdFc</t>
  </si>
  <si>
    <t>DRAGLEEOO ko captain mat banao</t>
  </si>
  <si>
    <t>Dhritiman Dey</t>
  </si>
  <si>
    <t>https://drive.google.com/open?id=1P2VyQ05qff0qu96psQqBd9snNGdLwCyF</t>
  </si>
  <si>
    <t>Bijan Mondal Reference</t>
  </si>
  <si>
    <t>Rahul Sen</t>
  </si>
  <si>
    <t>https://drive.google.com/open?id=11Q6C_SPO0Y7GG-dWOeNS9F9pJga_mtWH</t>
  </si>
  <si>
    <t>NA</t>
  </si>
  <si>
    <t>Mukundpur Cricheroes</t>
  </si>
  <si>
    <t>Rohit Ghosh (Babai)</t>
  </si>
  <si>
    <t>https://drive.google.com/open?id=1Lutb7jiS17qfv2Tsiej4xtj-fIVtwIRl</t>
  </si>
  <si>
    <t>Ujjawal Kumar Jha</t>
  </si>
  <si>
    <t>https://drive.google.com/open?id=1-4buFuqZdLECpbwTxpmhJjYUTdHVtdxY</t>
  </si>
  <si>
    <t>Dragleeoo gandu hai</t>
  </si>
  <si>
    <t>Jewel Johnson</t>
  </si>
  <si>
    <t>https://drive.google.com/open?id=129XbrfkwcRmRRyONOhFZmIFX53OPiP87</t>
  </si>
  <si>
    <t>500 paid for sunil as well</t>
  </si>
  <si>
    <t>Abhishek Sarkar</t>
  </si>
  <si>
    <t>https://drive.google.com/open?id=19ebheC2JW1zaQqTSlkraqwykHXEZxt7A</t>
  </si>
  <si>
    <t>Dont make me marquee , just an average player with average stats….</t>
  </si>
  <si>
    <t>Amd</t>
  </si>
  <si>
    <t>https://drive.google.com/open?id=1Q11XoRvhipc1zUxfgcmdqCQI4Jd4hfz-</t>
  </si>
  <si>
    <t>Umpire bahar se mangwao</t>
  </si>
  <si>
    <t>Subhashis Das</t>
  </si>
  <si>
    <t>https://drive.google.com/open?id=10qKFotFiwS5UqDKhhzsvQ8BtlV51QgQa</t>
  </si>
  <si>
    <t>Pls arrange the tournament in a neutral way...</t>
  </si>
  <si>
    <t>Soumyojit Bhattacharjee</t>
  </si>
  <si>
    <t>https://drive.google.com/open?id=1qbKs-ZeD03Nwv3FSbK6MMa9mzmmtEYHl</t>
  </si>
  <si>
    <t>Jit Chatterjee</t>
  </si>
  <si>
    <t>https://drive.google.com/open?id=1bSmtQ9vXLAKophQ54vd0coijkdmBT4VH</t>
  </si>
  <si>
    <t>ONE WORD, DON</t>
  </si>
  <si>
    <t>Indronil Das</t>
  </si>
  <si>
    <t>https://drive.google.com/open?id=1CYxgIgrKe3s3nNU_yy4EWbZGXnDjk-pR</t>
  </si>
  <si>
    <t>Avi Sengupta</t>
  </si>
  <si>
    <t>https://drive.google.com/open?id=1zwfKDnn8gBlmAOhZ-YBzs8PH6rh0wA3m</t>
  </si>
  <si>
    <t>Abhijeet Pal</t>
  </si>
  <si>
    <t>https://drive.google.com/open?id=1tW4k45_c9TCxasT6z7xSssouttWar80Q</t>
  </si>
  <si>
    <t>Samir</t>
  </si>
  <si>
    <t>Veg</t>
  </si>
  <si>
    <t>https://drive.google.com/open?id=1rgsGFEHqAQc_J_ns3uW5NSO-_tMUpd0k</t>
  </si>
  <si>
    <t>Arijit Kundu</t>
  </si>
  <si>
    <t>https://drive.google.com/open?id=1-Cj8OxDmwEyvEDKvEtFOPT6JtoSD5X1c</t>
  </si>
  <si>
    <t>Prince Chakraborty</t>
  </si>
  <si>
    <t>https://drive.google.com/open?id=1EnwmuOoVIY-kqAKVzm9k7m6E7E-rdXKc</t>
  </si>
  <si>
    <t>Anirban Guha</t>
  </si>
  <si>
    <t>https://drive.google.com/open?id=1awGd8GDpFClofR3birw2PDQK2Fhe7B4b</t>
  </si>
  <si>
    <t>I am Dinda ka brother</t>
  </si>
  <si>
    <t>Sagar Sen</t>
  </si>
  <si>
    <t>Left hand batter</t>
  </si>
  <si>
    <t>https://drive.google.com/open?id=1jB2WItO5eJHGWn7P1BeuiqZW3U1q8s4C</t>
  </si>
  <si>
    <t>Salman Hassain</t>
  </si>
  <si>
    <t>https://drive.google.com/open?id=1CqczhtEOxvY0N0tHEchVBcjq7pA1fTH-</t>
  </si>
  <si>
    <t>Harshit Agarwal</t>
  </si>
  <si>
    <t>https://drive.google.com/open?id=1RUH7ZbPL86dpcA_0-ZQg4v_tPSQQ3sQm</t>
  </si>
  <si>
    <t>Good umpires, on time matches.</t>
  </si>
  <si>
    <t>Balaram Shil</t>
  </si>
  <si>
    <t>https://drive.google.com/open?id=1m8t-2V_7Ik2Mv5HsqT91qldMVeP2i2Cz</t>
  </si>
  <si>
    <t>Ananya Roy</t>
  </si>
  <si>
    <t>https://drive.google.com/open?id=1sJW_sFmI8vRtf-E2ErdFZ-mE6L9dhbZD</t>
  </si>
  <si>
    <t>Tias Chatterjee</t>
  </si>
  <si>
    <t>Left arm bowler</t>
  </si>
  <si>
    <t>https://drive.google.com/open?id=1Sv_Do71B3f9IdUi1xhO9TNxlPFQOPAA2</t>
  </si>
  <si>
    <t>Joy Mitra</t>
  </si>
  <si>
    <t>https://drive.google.com/open?id=16CSglA5xxp4jGjGdLhUxhimkAXOWjhRo</t>
  </si>
  <si>
    <t>Tushal Shaw</t>
  </si>
  <si>
    <t>https://drive.google.com/open?id=1AkMy_Nk300OBbl7VM1XvLM0YnONA9klB</t>
  </si>
  <si>
    <t>Sunil</t>
  </si>
  <si>
    <t>https://drive.google.com/open?id=1nVN512O6H8wlbwwP3J7n52Dq31eqGumB</t>
  </si>
  <si>
    <t>Jewel's Friend</t>
  </si>
  <si>
    <t>Arnab Nandy</t>
  </si>
  <si>
    <t>https://drive.google.com/open?id=1DMtGeJ_zUBZXTV3AChPbJGCrFzTWM767</t>
  </si>
  <si>
    <t>Koushik Mukherjee</t>
  </si>
  <si>
    <t>https://drive.google.com/open?id=1qVd6xyhkfY6_tOTjBufkL96Dbpb-o-8r</t>
  </si>
  <si>
    <t>Sarajit Mondal</t>
  </si>
  <si>
    <t>https://drive.google.com/open?id=1EoAGj-Z3NOU8ObMHbYBwDJ5kbXZDJmuf</t>
  </si>
  <si>
    <t>Cricket is a gentleman's game, and as such, I hereby request that all players to play with same corresponding manner. Everyone having personal issues in their daily life, however cricket serves as an excellent remedy for stress, allowing us to play together and enjoy the day.</t>
  </si>
  <si>
    <t>Abhik Ganguly</t>
  </si>
  <si>
    <t>https://drive.google.com/open?id=1aTKP2X6LIBn6JYc3ChP_WWj7yQT9nht3</t>
  </si>
  <si>
    <t>Player ID</t>
  </si>
  <si>
    <t>Matches</t>
  </si>
  <si>
    <t>Innings</t>
  </si>
  <si>
    <t>Runs</t>
  </si>
  <si>
    <t>Avg</t>
  </si>
  <si>
    <t>SR</t>
  </si>
  <si>
    <t>Best Score</t>
  </si>
  <si>
    <t>Wickets</t>
  </si>
  <si>
    <t>Economy</t>
  </si>
  <si>
    <t>Fielding Dismissals</t>
  </si>
  <si>
    <t>Profile</t>
  </si>
  <si>
    <t>Base Price</t>
  </si>
  <si>
    <t>ANIRBAN PAUL</t>
  </si>
  <si>
    <t>34*</t>
  </si>
  <si>
    <t>Arijit roy</t>
  </si>
  <si>
    <t>HARSHIT JAISWAL</t>
  </si>
  <si>
    <t>Pritam Basu</t>
  </si>
  <si>
    <t>26*</t>
  </si>
  <si>
    <t>Fardeen ali</t>
  </si>
  <si>
    <t>50*</t>
  </si>
  <si>
    <t>Shantanu Chakraborty</t>
  </si>
  <si>
    <t>10*</t>
  </si>
  <si>
    <t>94*</t>
  </si>
  <si>
    <t>Ankit  Jaiswal</t>
  </si>
  <si>
    <t>48*</t>
  </si>
  <si>
    <t>24*</t>
  </si>
  <si>
    <t>Rohit Ghosh</t>
  </si>
  <si>
    <t>38*</t>
  </si>
  <si>
    <t>Kuntal Das</t>
  </si>
  <si>
    <t>Ujjawal Jha</t>
  </si>
  <si>
    <t>83*</t>
  </si>
  <si>
    <t>Abhishek sarkar</t>
  </si>
  <si>
    <t>74*</t>
  </si>
  <si>
    <t>DRAGLEEOO</t>
  </si>
  <si>
    <t>114*</t>
  </si>
  <si>
    <t>Subhasish Das</t>
  </si>
  <si>
    <t>87*</t>
  </si>
  <si>
    <t>65*</t>
  </si>
  <si>
    <t>39*</t>
  </si>
  <si>
    <t>55*</t>
  </si>
  <si>
    <t>Avi sengupta</t>
  </si>
  <si>
    <t>Bony</t>
  </si>
  <si>
    <t>76*</t>
  </si>
  <si>
    <t>61*</t>
  </si>
  <si>
    <t>Ananya roy</t>
  </si>
  <si>
    <t>Tiyas Chatterjee</t>
  </si>
  <si>
    <t>107*</t>
  </si>
  <si>
    <t>Koushik</t>
  </si>
  <si>
    <t>12*</t>
  </si>
  <si>
    <t>54*</t>
  </si>
  <si>
    <t>Category</t>
  </si>
  <si>
    <t>Base Point</t>
  </si>
  <si>
    <t>2 cr</t>
  </si>
  <si>
    <t>1 cr</t>
  </si>
  <si>
    <t>50 lakh</t>
  </si>
  <si>
    <t>20 lakh</t>
  </si>
  <si>
    <t>Harshit agarwal</t>
  </si>
  <si>
    <t>KOUSHIK MUKHERJEE</t>
  </si>
  <si>
    <t>Abhijeet pal</t>
  </si>
  <si>
    <t>Bowling Preference</t>
  </si>
  <si>
    <t>Full Hand / Throw</t>
  </si>
  <si>
    <t>Full Hand</t>
  </si>
  <si>
    <t>Fielding 
Dismissals</t>
  </si>
  <si>
    <t>View Profile</t>
  </si>
  <si>
    <t>Left hand bowler</t>
  </si>
  <si>
    <t>Sunil Kumar Shaw</t>
  </si>
  <si>
    <t>Soumyajit Bhattacharjee</t>
  </si>
  <si>
    <t>Susovan Roy</t>
  </si>
  <si>
    <t>Faisal Akhter</t>
  </si>
  <si>
    <t>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</si>
</sst>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3">
    <font>
      <sz val="10"/>
      <color rgb="FF000000"/>
      <name val="Arial"/>
      <scheme val="minor"/>
    </font>
    <font>
      <sz val="10"/>
      <color theme="1"/>
      <name val="Arial"/>
      <family val="2"/>
      <scheme val="minor"/>
    </font>
    <font>
      <sz val="10"/>
      <color rgb="FFFFFFFF"/>
      <name val="Arial"/>
      <family val="2"/>
      <scheme val="minor"/>
    </font>
    <font>
      <b/>
      <sz val="10"/>
      <color theme="1"/>
      <name val="Arial"/>
      <family val="2"/>
      <scheme val="minor"/>
    </font>
    <font>
      <u/>
      <sz val="10"/>
      <color rgb="FF0000FF"/>
      <name val="Roboto"/>
    </font>
    <font>
      <sz val="10"/>
      <color rgb="FFFF0000"/>
      <name val="Arial"/>
      <family val="2"/>
      <scheme val="minor"/>
    </font>
    <font>
      <b/>
      <sz val="15"/>
      <color theme="1"/>
      <name val="Arial"/>
      <family val="2"/>
      <scheme val="minor"/>
    </font>
    <font>
      <u/>
      <sz val="10"/>
      <color rgb="FF0000FF"/>
      <name val="Roboto"/>
    </font>
    <font>
      <sz val="10"/>
      <color rgb="FF000000"/>
      <name val="Arial"/>
      <family val="2"/>
      <scheme val="minor"/>
    </font>
    <font>
      <u/>
      <sz val="10"/>
      <color rgb="FF434343"/>
      <name val="Roboto"/>
    </font>
    <font>
      <b/>
      <sz val="10"/>
      <color theme="1"/>
      <name val="Arial"/>
      <family val="2"/>
      <scheme val="minor"/>
    </font>
    <font>
      <u/>
      <sz val="9"/>
      <color rgb="FF1F1F1F"/>
      <name val="Arial"/>
      <family val="2"/>
    </font>
    <font>
      <u/>
      <sz val="10"/>
      <color rgb="FF0000FF"/>
      <name val="Arial"/>
      <family val="2"/>
    </font>
    <font>
      <sz val="9"/>
      <color rgb="FF1F1F1F"/>
      <name val="System-ui"/>
    </font>
    <font>
      <b/>
      <sz val="12"/>
      <color theme="1"/>
      <name val="Arial"/>
      <family val="2"/>
      <scheme val="minor"/>
    </font>
    <font>
      <b/>
      <i/>
      <sz val="10"/>
      <color theme="1"/>
      <name val="Arial"/>
      <family val="2"/>
      <scheme val="minor"/>
    </font>
    <font>
      <u/>
      <sz val="10"/>
      <color theme="10"/>
      <name val="Arial"/>
      <family val="2"/>
      <scheme val="minor"/>
    </font>
    <font>
      <b/>
      <sz val="10"/>
      <color rgb="FF000000"/>
      <name val="Arial"/>
      <family val="2"/>
      <scheme val="minor"/>
    </font>
    <font>
      <sz val="10"/>
      <color rgb="FFE5CFF2"/>
      <name val="Arial"/>
      <family val="2"/>
      <scheme val="minor"/>
    </font>
    <font>
      <sz val="10"/>
      <color rgb="FFBFE0F6"/>
      <name val="Arial"/>
      <family val="2"/>
      <scheme val="minor"/>
    </font>
    <font>
      <sz val="10"/>
      <color rgb="FFD4EDBC"/>
      <name val="Arial"/>
      <family val="2"/>
      <scheme val="minor"/>
    </font>
    <font>
      <sz val="10"/>
      <color rgb="FF473821"/>
      <name val="Arial"/>
      <family val="2"/>
      <scheme val="minor"/>
    </font>
    <font>
      <sz val="10"/>
      <color rgb="FFFFE5A0"/>
      <name val="Arial"/>
      <family val="2"/>
      <scheme val="minor"/>
    </font>
  </fonts>
  <fills count="8">
    <fill>
      <patternFill patternType="none"/>
    </fill>
    <fill>
      <patternFill patternType="gray125"/>
    </fill>
    <fill>
      <patternFill patternType="solid">
        <fgColor rgb="FF00FFFF"/>
        <bgColor rgb="FF00FFFF"/>
      </patternFill>
    </fill>
    <fill>
      <patternFill patternType="solid">
        <fgColor rgb="FF00FF00"/>
        <bgColor rgb="FF00FF00"/>
      </patternFill>
    </fill>
    <fill>
      <patternFill patternType="solid">
        <fgColor rgb="FFEA9999"/>
        <bgColor rgb="FFEA9999"/>
      </patternFill>
    </fill>
    <fill>
      <patternFill patternType="solid">
        <fgColor rgb="FFFFFFFF"/>
        <bgColor rgb="FFFFFFFF"/>
      </patternFill>
    </fill>
    <fill>
      <patternFill patternType="solid">
        <fgColor rgb="FFFFF2CC"/>
        <bgColor rgb="FFFFF2CC"/>
      </patternFill>
    </fill>
    <fill>
      <patternFill patternType="solid">
        <fgColor rgb="FFFFFF00"/>
        <bgColor rgb="FFFFFF00"/>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6" fillId="0" borderId="0" applyNumberFormat="0" applyFill="0" applyBorder="0" applyAlignment="0" applyProtection="0"/>
  </cellStyleXfs>
  <cellXfs count="39">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center"/>
    </xf>
    <xf numFmtId="164" fontId="1" fillId="0" borderId="0" xfId="0" applyNumberFormat="1" applyFont="1" applyAlignment="1">
      <alignment vertical="center"/>
    </xf>
    <xf numFmtId="0" fontId="1"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2" borderId="0" xfId="0" applyFont="1" applyFill="1" applyAlignment="1">
      <alignment horizontal="center"/>
    </xf>
    <xf numFmtId="0" fontId="6" fillId="3" borderId="0" xfId="0" applyFont="1" applyFill="1" applyAlignment="1">
      <alignment horizontal="center"/>
    </xf>
    <xf numFmtId="0" fontId="6" fillId="4" borderId="0" xfId="0" applyFont="1" applyFill="1" applyAlignment="1">
      <alignment horizont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5"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right"/>
    </xf>
    <xf numFmtId="0" fontId="11" fillId="5" borderId="0" xfId="0" applyFont="1" applyFill="1"/>
    <xf numFmtId="0" fontId="1" fillId="0" borderId="0" xfId="0" applyFont="1"/>
    <xf numFmtId="0" fontId="1" fillId="0" borderId="0" xfId="0" applyFont="1" applyAlignment="1">
      <alignment horizontal="right"/>
    </xf>
    <xf numFmtId="0" fontId="12" fillId="0" borderId="0" xfId="0" applyFont="1"/>
    <xf numFmtId="3" fontId="1" fillId="0" borderId="0" xfId="0" applyNumberFormat="1" applyFont="1"/>
    <xf numFmtId="0" fontId="13" fillId="5" borderId="0" xfId="0" applyFont="1" applyFill="1"/>
    <xf numFmtId="0" fontId="14" fillId="6" borderId="0" xfId="0" applyFont="1" applyFill="1"/>
    <xf numFmtId="0" fontId="15" fillId="2" borderId="0" xfId="0" applyFont="1" applyFill="1"/>
    <xf numFmtId="0" fontId="1" fillId="7" borderId="0" xfId="0" applyFont="1" applyFill="1"/>
    <xf numFmtId="0" fontId="17" fillId="0" borderId="1" xfId="0" applyFont="1" applyBorder="1" applyAlignment="1">
      <alignment horizontal="center" wrapText="1"/>
    </xf>
    <xf numFmtId="0" fontId="8" fillId="0" borderId="1" xfId="0" applyFont="1" applyBorder="1" applyAlignment="1">
      <alignment wrapText="1"/>
    </xf>
    <xf numFmtId="0" fontId="8" fillId="0" borderId="1" xfId="0" applyFont="1" applyBorder="1" applyAlignment="1">
      <alignment horizontal="right" wrapText="1"/>
    </xf>
    <xf numFmtId="0" fontId="16" fillId="0" borderId="1" xfId="1" applyBorder="1" applyAlignment="1">
      <alignment wrapText="1"/>
    </xf>
    <xf numFmtId="0" fontId="18" fillId="0" borderId="1" xfId="0" applyFont="1" applyBorder="1" applyAlignment="1">
      <alignment wrapText="1"/>
    </xf>
    <xf numFmtId="3" fontId="8" fillId="0" borderId="1" xfId="0" applyNumberFormat="1" applyFont="1" applyBorder="1" applyAlignment="1">
      <alignment horizontal="right" wrapText="1"/>
    </xf>
    <xf numFmtId="0" fontId="19" fillId="0" borderId="1" xfId="0" applyFont="1" applyBorder="1" applyAlignment="1">
      <alignment wrapText="1"/>
    </xf>
    <xf numFmtId="0" fontId="20" fillId="0" borderId="1" xfId="0" applyFont="1" applyBorder="1" applyAlignment="1">
      <alignment wrapText="1"/>
    </xf>
    <xf numFmtId="0" fontId="21" fillId="0" borderId="1" xfId="0" applyFont="1" applyBorder="1" applyAlignment="1">
      <alignment wrapText="1"/>
    </xf>
    <xf numFmtId="0" fontId="22" fillId="0" borderId="1" xfId="0" applyFont="1" applyBorder="1" applyAlignment="1">
      <alignment wrapText="1"/>
    </xf>
    <xf numFmtId="0" fontId="17" fillId="0" borderId="1" xfId="0" applyFont="1" applyBorder="1" applyAlignment="1">
      <alignment horizontal="center" vertical="center"/>
    </xf>
    <xf numFmtId="0" fontId="8" fillId="0" borderId="1" xfId="0" applyFont="1" applyBorder="1" applyAlignment="1">
      <alignment vertical="center"/>
    </xf>
  </cellXfs>
  <cellStyles count="2">
    <cellStyle name="Hyperlink" xfId="1" builtinId="8"/>
    <cellStyle name="Normal" xfId="0" builtinId="0"/>
  </cellStyles>
  <dxfs count="6">
    <dxf>
      <fill>
        <patternFill patternType="solid">
          <fgColor rgb="FFFFFF00"/>
          <bgColor rgb="FFFFFF00"/>
        </patternFill>
      </fill>
    </dxf>
    <dxf>
      <fill>
        <patternFill patternType="solid">
          <fgColor rgb="FFB7E1CD"/>
          <bgColor rgb="FFB7E1CD"/>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O45">
  <autoFilter ref="A1:O45" xr:uid="{00000000-0009-0000-0100-000001000000}"/>
  <tableColumns count="15">
    <tableColumn id="1" xr3:uid="{00000000-0010-0000-0000-000001000000}" name="Timestamp"/>
    <tableColumn id="2" xr3:uid="{00000000-0010-0000-0000-000002000000}" name="Name"/>
    <tableColumn id="3" xr3:uid="{00000000-0010-0000-0000-000003000000}" name="Whatsapp number"/>
    <tableColumn id="4" xr3:uid="{00000000-0010-0000-0000-000004000000}" name="Batting"/>
    <tableColumn id="5" xr3:uid="{00000000-0010-0000-0000-000005000000}" name="Bowling"/>
    <tableColumn id="6" xr3:uid="{00000000-0010-0000-0000-000006000000}" name="Bowling preference"/>
    <tableColumn id="7" xr3:uid="{00000000-0010-0000-0000-000007000000}" name="Rate yourself out of 10."/>
    <tableColumn id="8" xr3:uid="{00000000-0010-0000-0000-000008000000}" name="Food preference"/>
    <tableColumn id="9" xr3:uid="{00000000-0010-0000-0000-000009000000}" name="Photo"/>
    <tableColumn id="10" xr3:uid="{00000000-0010-0000-0000-00000A000000}" name="Any suggestions?"/>
    <tableColumn id="11" xr3:uid="{00000000-0010-0000-0000-00000B000000}" name="Cricheroes number"/>
    <tableColumn id="12" xr3:uid="{00000000-0010-0000-0000-00000C000000}" name="Payment"/>
    <tableColumn id="13" xr3:uid="{00000000-0010-0000-0000-00000D000000}" name="Status"/>
    <tableColumn id="14" xr3:uid="{00000000-0010-0000-0000-00000E000000}" name="Seeding"/>
    <tableColumn id="15" xr3:uid="{00000000-0010-0000-0000-00000F000000}" name="Note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open?id=12FsGW9yMtdQoicmkKV3JzeJrNNlrQcrx" TargetMode="External"/><Relationship Id="rId18" Type="http://schemas.openxmlformats.org/officeDocument/2006/relationships/hyperlink" Target="https://drive.google.com/open?id=1-4buFuqZdLECpbwTxpmhJjYUTdHVtdxY" TargetMode="External"/><Relationship Id="rId26" Type="http://schemas.openxmlformats.org/officeDocument/2006/relationships/hyperlink" Target="https://drive.google.com/open?id=1zwfKDnn8gBlmAOhZ-YBzs8PH6rh0wA3m" TargetMode="External"/><Relationship Id="rId39" Type="http://schemas.openxmlformats.org/officeDocument/2006/relationships/hyperlink" Target="https://drive.google.com/open?id=1AkMy_Nk300OBbl7VM1XvLM0YnONA9klB" TargetMode="External"/><Relationship Id="rId21" Type="http://schemas.openxmlformats.org/officeDocument/2006/relationships/hyperlink" Target="https://drive.google.com/open?id=1Q11XoRvhipc1zUxfgcmdqCQI4Jd4hfz-" TargetMode="External"/><Relationship Id="rId34" Type="http://schemas.openxmlformats.org/officeDocument/2006/relationships/hyperlink" Target="https://drive.google.com/open?id=1RUH7ZbPL86dpcA_0-ZQg4v_tPSQQ3sQm" TargetMode="External"/><Relationship Id="rId42" Type="http://schemas.openxmlformats.org/officeDocument/2006/relationships/hyperlink" Target="https://drive.google.com/open?id=1qVd6xyhkfY6_tOTjBufkL96Dbpb-o-8r" TargetMode="External"/><Relationship Id="rId7" Type="http://schemas.openxmlformats.org/officeDocument/2006/relationships/hyperlink" Target="https://drive.google.com/open?id=1dAQTAno74uagZag5__YHLgAZOpbXS0Yw" TargetMode="External"/><Relationship Id="rId2" Type="http://schemas.openxmlformats.org/officeDocument/2006/relationships/hyperlink" Target="https://drive.google.com/open?id=1MJQ-gAoGTHDsWvMIWkIIia2UQfQZ81tf" TargetMode="External"/><Relationship Id="rId16" Type="http://schemas.openxmlformats.org/officeDocument/2006/relationships/hyperlink" Target="https://drive.google.com/open?id=11Q6C_SPO0Y7GG-dWOeNS9F9pJga_mtWH" TargetMode="External"/><Relationship Id="rId29" Type="http://schemas.openxmlformats.org/officeDocument/2006/relationships/hyperlink" Target="https://drive.google.com/open?id=1-Cj8OxDmwEyvEDKvEtFOPT6JtoSD5X1c" TargetMode="External"/><Relationship Id="rId1" Type="http://schemas.openxmlformats.org/officeDocument/2006/relationships/hyperlink" Target="https://drive.google.com/open?id=1GYoKt7n9nKtNm3OhdNXXuHfk5K4t1MNR" TargetMode="External"/><Relationship Id="rId6" Type="http://schemas.openxmlformats.org/officeDocument/2006/relationships/hyperlink" Target="https://drive.google.com/open?id=1Cnu8DJMnlvHWgR4Etqe31cOJYT8_Eawh" TargetMode="External"/><Relationship Id="rId11" Type="http://schemas.openxmlformats.org/officeDocument/2006/relationships/hyperlink" Target="https://drive.google.com/open?id=1gbXYoVE_ZCLO-96mCuopgHYqAavcU7Dm" TargetMode="External"/><Relationship Id="rId24" Type="http://schemas.openxmlformats.org/officeDocument/2006/relationships/hyperlink" Target="https://drive.google.com/open?id=1bSmtQ9vXLAKophQ54vd0coijkdmBT4VH" TargetMode="External"/><Relationship Id="rId32" Type="http://schemas.openxmlformats.org/officeDocument/2006/relationships/hyperlink" Target="https://drive.google.com/open?id=1jB2WItO5eJHGWn7P1BeuiqZW3U1q8s4C" TargetMode="External"/><Relationship Id="rId37" Type="http://schemas.openxmlformats.org/officeDocument/2006/relationships/hyperlink" Target="https://drive.google.com/open?id=1Sv_Do71B3f9IdUi1xhO9TNxlPFQOPAA2" TargetMode="External"/><Relationship Id="rId40" Type="http://schemas.openxmlformats.org/officeDocument/2006/relationships/hyperlink" Target="https://drive.google.com/open?id=1nVN512O6H8wlbwwP3J7n52Dq31eqGumB" TargetMode="External"/><Relationship Id="rId45" Type="http://schemas.openxmlformats.org/officeDocument/2006/relationships/table" Target="../tables/table1.xml"/><Relationship Id="rId5" Type="http://schemas.openxmlformats.org/officeDocument/2006/relationships/hyperlink" Target="https://drive.google.com/open?id=1S55Lf0_wBGR2SQDi56KOtK1pBMxfJMsu" TargetMode="External"/><Relationship Id="rId15" Type="http://schemas.openxmlformats.org/officeDocument/2006/relationships/hyperlink" Target="https://drive.google.com/open?id=1P2VyQ05qff0qu96psQqBd9snNGdLwCyF" TargetMode="External"/><Relationship Id="rId23" Type="http://schemas.openxmlformats.org/officeDocument/2006/relationships/hyperlink" Target="https://drive.google.com/open?id=1qbKs-ZeD03Nwv3FSbK6MMa9mzmmtEYHl" TargetMode="External"/><Relationship Id="rId28" Type="http://schemas.openxmlformats.org/officeDocument/2006/relationships/hyperlink" Target="https://drive.google.com/open?id=1rgsGFEHqAQc_J_ns3uW5NSO-_tMUpd0k" TargetMode="External"/><Relationship Id="rId36" Type="http://schemas.openxmlformats.org/officeDocument/2006/relationships/hyperlink" Target="https://drive.google.com/open?id=1sJW_sFmI8vRtf-E2ErdFZ-mE6L9dhbZD" TargetMode="External"/><Relationship Id="rId10" Type="http://schemas.openxmlformats.org/officeDocument/2006/relationships/hyperlink" Target="https://drive.google.com/open?id=15H0dsU60tD86x1452Yom6E8R8ZdWWK_r" TargetMode="External"/><Relationship Id="rId19" Type="http://schemas.openxmlformats.org/officeDocument/2006/relationships/hyperlink" Target="https://drive.google.com/open?id=129XbrfkwcRmRRyONOhFZmIFX53OPiP87" TargetMode="External"/><Relationship Id="rId31" Type="http://schemas.openxmlformats.org/officeDocument/2006/relationships/hyperlink" Target="https://drive.google.com/open?id=1awGd8GDpFClofR3birw2PDQK2Fhe7B4b" TargetMode="External"/><Relationship Id="rId44" Type="http://schemas.openxmlformats.org/officeDocument/2006/relationships/hyperlink" Target="https://drive.google.com/open?id=1aTKP2X6LIBn6JYc3ChP_WWj7yQT9nht3" TargetMode="External"/><Relationship Id="rId4" Type="http://schemas.openxmlformats.org/officeDocument/2006/relationships/hyperlink" Target="https://drive.google.com/open?id=1gtTHY8iXMM8gbEjsYjHhCmvGxeakzoX7" TargetMode="External"/><Relationship Id="rId9" Type="http://schemas.openxmlformats.org/officeDocument/2006/relationships/hyperlink" Target="https://drive.google.com/open?id=18vnmc-ZsBTaPlSJMbDN4EwejSHk5pIaD" TargetMode="External"/><Relationship Id="rId14" Type="http://schemas.openxmlformats.org/officeDocument/2006/relationships/hyperlink" Target="https://drive.google.com/open?id=1sfs6iMjc2X7cRm8zRwfi9-8pBg5bNdFc" TargetMode="External"/><Relationship Id="rId22" Type="http://schemas.openxmlformats.org/officeDocument/2006/relationships/hyperlink" Target="https://drive.google.com/open?id=10qKFotFiwS5UqDKhhzsvQ8BtlV51QgQa" TargetMode="External"/><Relationship Id="rId27" Type="http://schemas.openxmlformats.org/officeDocument/2006/relationships/hyperlink" Target="https://drive.google.com/open?id=1tW4k45_c9TCxasT6z7xSssouttWar80Q" TargetMode="External"/><Relationship Id="rId30" Type="http://schemas.openxmlformats.org/officeDocument/2006/relationships/hyperlink" Target="https://drive.google.com/open?id=1EnwmuOoVIY-kqAKVzm9k7m6E7E-rdXKc" TargetMode="External"/><Relationship Id="rId35" Type="http://schemas.openxmlformats.org/officeDocument/2006/relationships/hyperlink" Target="https://drive.google.com/open?id=1m8t-2V_7Ik2Mv5HsqT91qldMVeP2i2Cz" TargetMode="External"/><Relationship Id="rId43" Type="http://schemas.openxmlformats.org/officeDocument/2006/relationships/hyperlink" Target="https://drive.google.com/open?id=1EoAGj-Z3NOU8ObMHbYBwDJ5kbXZDJmuf" TargetMode="External"/><Relationship Id="rId8" Type="http://schemas.openxmlformats.org/officeDocument/2006/relationships/hyperlink" Target="https://drive.google.com/open?id=1BgSOK86f3Qx_n9R5no2mMg7_RIp4WdnX" TargetMode="External"/><Relationship Id="rId3" Type="http://schemas.openxmlformats.org/officeDocument/2006/relationships/hyperlink" Target="https://drive.google.com/open?id=10r8HThmdwZImNTWnOAVBtjXoj0KwwwVc" TargetMode="External"/><Relationship Id="rId12" Type="http://schemas.openxmlformats.org/officeDocument/2006/relationships/hyperlink" Target="https://drive.google.com/open?id=11icULVIJ75z_uRFxHyNwXan37eabOFkV" TargetMode="External"/><Relationship Id="rId17" Type="http://schemas.openxmlformats.org/officeDocument/2006/relationships/hyperlink" Target="https://drive.google.com/open?id=1Lutb7jiS17qfv2Tsiej4xtj-fIVtwIRl" TargetMode="External"/><Relationship Id="rId25" Type="http://schemas.openxmlformats.org/officeDocument/2006/relationships/hyperlink" Target="https://drive.google.com/open?id=1CYxgIgrKe3s3nNU_yy4EWbZGXnDjk-pR" TargetMode="External"/><Relationship Id="rId33" Type="http://schemas.openxmlformats.org/officeDocument/2006/relationships/hyperlink" Target="https://drive.google.com/open?id=1CqczhtEOxvY0N0tHEchVBcjq7pA1fTH-" TargetMode="External"/><Relationship Id="rId38" Type="http://schemas.openxmlformats.org/officeDocument/2006/relationships/hyperlink" Target="https://drive.google.com/open?id=16CSglA5xxp4jGjGdLhUxhimkAXOWjhRo" TargetMode="External"/><Relationship Id="rId20" Type="http://schemas.openxmlformats.org/officeDocument/2006/relationships/hyperlink" Target="https://drive.google.com/open?id=19ebheC2JW1zaQqTSlkraqwykHXEZxt7A" TargetMode="External"/><Relationship Id="rId41" Type="http://schemas.openxmlformats.org/officeDocument/2006/relationships/hyperlink" Target="https://drive.google.com/open?id=1DMtGeJ_zUBZXTV3AChPbJGCrFzTWM767"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cricheroes.com/player-profile/37888165/bijon-mondal/stats" TargetMode="External"/><Relationship Id="rId18" Type="http://schemas.openxmlformats.org/officeDocument/2006/relationships/hyperlink" Target="https://cricheroes.com/player-profile/49414345/indronil-das/stats" TargetMode="External"/><Relationship Id="rId26" Type="http://schemas.openxmlformats.org/officeDocument/2006/relationships/hyperlink" Target="https://cricheroes.com/player-profile/47133527/sen/stats" TargetMode="External"/><Relationship Id="rId3" Type="http://schemas.openxmlformats.org/officeDocument/2006/relationships/hyperlink" Target="https://cricheroes.com/player-profile/12060387/abhishek-sarkar/stats" TargetMode="External"/><Relationship Id="rId21" Type="http://schemas.openxmlformats.org/officeDocument/2006/relationships/hyperlink" Target="https://cricheroes.com/player-profile/12060748/joy-mitra/stats" TargetMode="External"/><Relationship Id="rId34" Type="http://schemas.openxmlformats.org/officeDocument/2006/relationships/hyperlink" Target="https://cricheroes.com/player-profile/10984519/ujjawal-jha/stats" TargetMode="External"/><Relationship Id="rId7" Type="http://schemas.openxmlformats.org/officeDocument/2006/relationships/hyperlink" Target="https://cricheroes.com/player-profile/33918878/anirban-paul/stats" TargetMode="External"/><Relationship Id="rId12" Type="http://schemas.openxmlformats.org/officeDocument/2006/relationships/hyperlink" Target="https://cricheroes.com/player-profile/2320856/balaram-shil/stats" TargetMode="External"/><Relationship Id="rId17" Type="http://schemas.openxmlformats.org/officeDocument/2006/relationships/hyperlink" Target="https://cricheroes.com/player-profile/11374748/harshit-jaiswal/stats" TargetMode="External"/><Relationship Id="rId25" Type="http://schemas.openxmlformats.org/officeDocument/2006/relationships/hyperlink" Target="https://cricheroes.com/player-profile/36055152/rohit-ghosh/stats" TargetMode="External"/><Relationship Id="rId33" Type="http://schemas.openxmlformats.org/officeDocument/2006/relationships/hyperlink" Target="https://cricheroes.com/player-profile/29988182/tushal-shaw/stats" TargetMode="External"/><Relationship Id="rId2" Type="http://schemas.openxmlformats.org/officeDocument/2006/relationships/hyperlink" Target="https://cricheroes.com/player-profile/3336901/abhik-ganguly/stats" TargetMode="External"/><Relationship Id="rId16" Type="http://schemas.openxmlformats.org/officeDocument/2006/relationships/hyperlink" Target="https://cricheroes.com/player-profile/38392651/dhritiman-dey/stats" TargetMode="External"/><Relationship Id="rId20" Type="http://schemas.openxmlformats.org/officeDocument/2006/relationships/hyperlink" Target="https://cricheroes.com/player-profile/4258050/jit/stats" TargetMode="External"/><Relationship Id="rId29" Type="http://schemas.openxmlformats.org/officeDocument/2006/relationships/hyperlink" Target="https://cricheroes.com/player-profile/17365917/soumyojit/stats" TargetMode="External"/><Relationship Id="rId1" Type="http://schemas.openxmlformats.org/officeDocument/2006/relationships/hyperlink" Target="https://cricheroes.com/player-profile/40256787/avijit-pal-cricket-bhojerhat/stats" TargetMode="External"/><Relationship Id="rId6" Type="http://schemas.openxmlformats.org/officeDocument/2006/relationships/hyperlink" Target="https://cricheroes.com/player-profile/42627107/anirban-guha/stats" TargetMode="External"/><Relationship Id="rId11" Type="http://schemas.openxmlformats.org/officeDocument/2006/relationships/hyperlink" Target="https://cricheroes.com/player-profile/44521368/avi-sengupta/stats" TargetMode="External"/><Relationship Id="rId24" Type="http://schemas.openxmlformats.org/officeDocument/2006/relationships/hyperlink" Target="https://cricheroes.com/player-profile/45002297/rahul/stats" TargetMode="External"/><Relationship Id="rId32" Type="http://schemas.openxmlformats.org/officeDocument/2006/relationships/hyperlink" Target="https://cricheroes.com/player-profile/22819671/tiyas-chatterjee/stats" TargetMode="External"/><Relationship Id="rId5" Type="http://schemas.openxmlformats.org/officeDocument/2006/relationships/hyperlink" Target="https://cricheroes.com/player-profile/34507530/ananya-roy/stats" TargetMode="External"/><Relationship Id="rId15" Type="http://schemas.openxmlformats.org/officeDocument/2006/relationships/hyperlink" Target="https://cricheroes.com/player-profile/3371745/debashish-roy/stats" TargetMode="External"/><Relationship Id="rId23" Type="http://schemas.openxmlformats.org/officeDocument/2006/relationships/hyperlink" Target="https://cricheroes.com/player-profile/42598564/prince/stats" TargetMode="External"/><Relationship Id="rId28" Type="http://schemas.openxmlformats.org/officeDocument/2006/relationships/hyperlink" Target="https://cricheroes.com/player-profile/8026613/samir/stats" TargetMode="External"/><Relationship Id="rId10" Type="http://schemas.openxmlformats.org/officeDocument/2006/relationships/hyperlink" Target="https://cricheroes.com/player-profile/19685723/arijit-roy/stats" TargetMode="External"/><Relationship Id="rId19" Type="http://schemas.openxmlformats.org/officeDocument/2006/relationships/hyperlink" Target="https://cricheroes.com/player-profile/48762345/jewel-johnson/stats" TargetMode="External"/><Relationship Id="rId31" Type="http://schemas.openxmlformats.org/officeDocument/2006/relationships/hyperlink" Target="https://cricheroes.com/player-profile/51819205/sunil-kumar-shaw/stats" TargetMode="External"/><Relationship Id="rId4" Type="http://schemas.openxmlformats.org/officeDocument/2006/relationships/hyperlink" Target="https://cricheroes.com/player-profile/10984703/aman-jaiswal/stats" TargetMode="External"/><Relationship Id="rId9" Type="http://schemas.openxmlformats.org/officeDocument/2006/relationships/hyperlink" Target="https://cricheroes.com/player-profile/43016896/arijit/stats" TargetMode="External"/><Relationship Id="rId14" Type="http://schemas.openxmlformats.org/officeDocument/2006/relationships/hyperlink" Target="https://cricheroes.com/player-profile/12060554/bony/stats" TargetMode="External"/><Relationship Id="rId22" Type="http://schemas.openxmlformats.org/officeDocument/2006/relationships/hyperlink" Target="https://cricheroes.com/player-profile/31751306/koushik/stats" TargetMode="External"/><Relationship Id="rId27" Type="http://schemas.openxmlformats.org/officeDocument/2006/relationships/hyperlink" Target="https://cricheroes.com/player-profile/44011252/salman/stats" TargetMode="External"/><Relationship Id="rId30" Type="http://schemas.openxmlformats.org/officeDocument/2006/relationships/hyperlink" Target="https://cricheroes.com/player-profile/4779842/subhasish-das/stats" TargetMode="External"/><Relationship Id="rId35" Type="http://schemas.openxmlformats.org/officeDocument/2006/relationships/printerSettings" Target="../printerSettings/printerSettings1.bin"/><Relationship Id="rId8" Type="http://schemas.openxmlformats.org/officeDocument/2006/relationships/hyperlink" Target="https://cricheroes.com/player-profile/11077697/ankit-jaiswal/sta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44"/>
  <sheetViews>
    <sheetView showGridLines="0" workbookViewId="0">
      <pane ySplit="1" topLeftCell="A2" activePane="bottomLeft" state="frozen"/>
      <selection pane="bottomLeft" activeCell="B3" sqref="B3"/>
    </sheetView>
  </sheetViews>
  <sheetFormatPr defaultColWidth="12.6640625" defaultRowHeight="15.75" customHeight="1"/>
  <cols>
    <col min="1" max="1" width="18.88671875" hidden="1" customWidth="1"/>
    <col min="2" max="2" width="19.33203125" customWidth="1"/>
    <col min="3" max="3" width="19.109375" customWidth="1"/>
    <col min="4" max="5" width="18.88671875" hidden="1" customWidth="1"/>
    <col min="6" max="6" width="37.21875" hidden="1" customWidth="1"/>
    <col min="7" max="7" width="22.21875" hidden="1" customWidth="1"/>
    <col min="8" max="8" width="13.44140625" customWidth="1"/>
    <col min="9" max="9" width="60.6640625" customWidth="1"/>
    <col min="10" max="10" width="28.109375" hidden="1" customWidth="1"/>
    <col min="11" max="11" width="18.88671875" hidden="1" customWidth="1"/>
    <col min="12" max="12" width="12" customWidth="1"/>
    <col min="13" max="13" width="18.88671875" customWidth="1"/>
    <col min="14" max="14" width="10.109375" customWidth="1"/>
    <col min="15" max="15" width="23.77734375" customWidth="1"/>
    <col min="16" max="16" width="22.6640625" customWidth="1"/>
    <col min="17" max="30" width="18.88671875" customWidth="1"/>
  </cols>
  <sheetData>
    <row r="1" spans="1:18" ht="22.5" customHeight="1">
      <c r="A1" s="1" t="s">
        <v>0</v>
      </c>
      <c r="B1" s="1" t="s">
        <v>1</v>
      </c>
      <c r="C1" s="1" t="s">
        <v>2</v>
      </c>
      <c r="D1" s="1" t="s">
        <v>3</v>
      </c>
      <c r="E1" s="1" t="s">
        <v>4</v>
      </c>
      <c r="F1" s="1" t="s">
        <v>5</v>
      </c>
      <c r="G1" s="1" t="s">
        <v>6</v>
      </c>
      <c r="H1" s="1" t="s">
        <v>7</v>
      </c>
      <c r="I1" s="1" t="s">
        <v>8</v>
      </c>
      <c r="J1" s="1" t="s">
        <v>9</v>
      </c>
      <c r="K1" s="1" t="s">
        <v>10</v>
      </c>
      <c r="L1" s="1" t="s">
        <v>11</v>
      </c>
      <c r="M1" s="1" t="s">
        <v>12</v>
      </c>
      <c r="N1" s="2" t="s">
        <v>13</v>
      </c>
      <c r="O1" s="1" t="s">
        <v>14</v>
      </c>
      <c r="P1" s="3" t="s">
        <v>15</v>
      </c>
      <c r="Q1" s="3" t="s">
        <v>16</v>
      </c>
      <c r="R1" s="3" t="s">
        <v>17</v>
      </c>
    </row>
    <row r="2" spans="1:18" ht="22.5" customHeight="1">
      <c r="A2" s="4">
        <v>46165.554645462966</v>
      </c>
      <c r="B2" s="5" t="s">
        <v>18</v>
      </c>
      <c r="C2" s="5">
        <v>7003813326</v>
      </c>
      <c r="D2" s="5" t="s">
        <v>19</v>
      </c>
      <c r="E2" s="5" t="s">
        <v>20</v>
      </c>
      <c r="F2" s="5" t="s">
        <v>21</v>
      </c>
      <c r="G2" s="5">
        <v>8</v>
      </c>
      <c r="H2" s="5" t="s">
        <v>22</v>
      </c>
      <c r="I2" s="6" t="s">
        <v>23</v>
      </c>
      <c r="J2" s="5" t="s">
        <v>24</v>
      </c>
      <c r="K2" s="5"/>
      <c r="L2" s="5">
        <v>500</v>
      </c>
      <c r="M2" s="5" t="str">
        <f t="shared" ref="M2:M45" si="0">IF(OR(L2=500,L2=800),"Complete","Pending")</f>
        <v>Complete</v>
      </c>
      <c r="N2" s="5" t="s">
        <v>25</v>
      </c>
      <c r="O2" s="7"/>
      <c r="P2" s="8">
        <v>40</v>
      </c>
      <c r="Q2" s="9">
        <f>COUNTIFS(Form_Responses[[#All],[Status]],"Complete")</f>
        <v>36</v>
      </c>
      <c r="R2" s="10">
        <f>P2-Q2</f>
        <v>4</v>
      </c>
    </row>
    <row r="3" spans="1:18" ht="22.5" customHeight="1">
      <c r="A3" s="4">
        <v>46165.556744270834</v>
      </c>
      <c r="B3" s="5" t="s">
        <v>26</v>
      </c>
      <c r="C3" s="5">
        <v>9088787359</v>
      </c>
      <c r="D3" s="5" t="s">
        <v>19</v>
      </c>
      <c r="E3" s="5" t="s">
        <v>20</v>
      </c>
      <c r="F3" s="5" t="s">
        <v>21</v>
      </c>
      <c r="G3" s="5">
        <v>7</v>
      </c>
      <c r="H3" s="5" t="s">
        <v>22</v>
      </c>
      <c r="I3" s="6" t="s">
        <v>27</v>
      </c>
      <c r="J3" s="5" t="s">
        <v>28</v>
      </c>
      <c r="K3" s="5"/>
      <c r="L3" s="5">
        <v>800</v>
      </c>
      <c r="M3" s="5" t="str">
        <f t="shared" si="0"/>
        <v>Complete</v>
      </c>
      <c r="N3" s="5" t="s">
        <v>29</v>
      </c>
      <c r="O3" s="7"/>
      <c r="P3" s="3" t="s">
        <v>30</v>
      </c>
      <c r="Q3" s="3" t="s">
        <v>31</v>
      </c>
      <c r="R3" s="3" t="s">
        <v>32</v>
      </c>
    </row>
    <row r="4" spans="1:18" ht="22.5" customHeight="1">
      <c r="A4" s="4">
        <v>46165.560157835644</v>
      </c>
      <c r="B4" s="5" t="s">
        <v>33</v>
      </c>
      <c r="C4" s="5">
        <v>8013276482</v>
      </c>
      <c r="D4" s="5" t="s">
        <v>19</v>
      </c>
      <c r="E4" s="5" t="s">
        <v>20</v>
      </c>
      <c r="F4" s="5" t="s">
        <v>34</v>
      </c>
      <c r="G4" s="5">
        <v>7</v>
      </c>
      <c r="H4" s="5" t="s">
        <v>22</v>
      </c>
      <c r="I4" s="6" t="s">
        <v>35</v>
      </c>
      <c r="J4" s="5" t="s">
        <v>36</v>
      </c>
      <c r="K4" s="5"/>
      <c r="L4" s="5">
        <v>800</v>
      </c>
      <c r="M4" s="5" t="str">
        <f t="shared" si="0"/>
        <v>Complete</v>
      </c>
      <c r="N4" s="5" t="s">
        <v>29</v>
      </c>
      <c r="O4" s="7"/>
      <c r="P4" s="8">
        <f>(500*36)+(4*800)</f>
        <v>21200</v>
      </c>
      <c r="Q4" s="9">
        <f>SUMIFS(Form_Responses[[#All],[Payment]],Form_Responses[[#All],[Status]],"Complete")</f>
        <v>19200</v>
      </c>
      <c r="R4" s="10">
        <f>P4-Q4</f>
        <v>2000</v>
      </c>
    </row>
    <row r="5" spans="1:18" ht="22.5" customHeight="1">
      <c r="A5" s="4">
        <v>46165.57115462963</v>
      </c>
      <c r="B5" s="5" t="s">
        <v>37</v>
      </c>
      <c r="C5" s="5">
        <v>7439658397</v>
      </c>
      <c r="D5" s="5" t="s">
        <v>19</v>
      </c>
      <c r="E5" s="5" t="s">
        <v>20</v>
      </c>
      <c r="F5" s="5" t="s">
        <v>34</v>
      </c>
      <c r="G5" s="5">
        <v>7</v>
      </c>
      <c r="H5" s="5" t="s">
        <v>22</v>
      </c>
      <c r="I5" s="6" t="s">
        <v>38</v>
      </c>
      <c r="J5" s="5" t="s">
        <v>39</v>
      </c>
      <c r="K5" s="5"/>
      <c r="L5" s="5">
        <v>500</v>
      </c>
      <c r="M5" s="5" t="str">
        <f t="shared" si="0"/>
        <v>Complete</v>
      </c>
      <c r="N5" s="5" t="s">
        <v>40</v>
      </c>
      <c r="O5" s="7"/>
    </row>
    <row r="6" spans="1:18" ht="22.5" customHeight="1">
      <c r="A6" s="4">
        <v>46165.581467523152</v>
      </c>
      <c r="B6" s="5" t="s">
        <v>41</v>
      </c>
      <c r="C6" s="5">
        <v>6291007374</v>
      </c>
      <c r="D6" s="5" t="s">
        <v>19</v>
      </c>
      <c r="E6" s="5" t="s">
        <v>20</v>
      </c>
      <c r="F6" s="5" t="s">
        <v>42</v>
      </c>
      <c r="G6" s="5">
        <v>5</v>
      </c>
      <c r="H6" s="5" t="s">
        <v>22</v>
      </c>
      <c r="I6" s="6" t="s">
        <v>43</v>
      </c>
      <c r="J6" s="5" t="s">
        <v>44</v>
      </c>
      <c r="K6" s="5"/>
      <c r="L6" s="5">
        <v>500</v>
      </c>
      <c r="M6" s="5" t="str">
        <f t="shared" si="0"/>
        <v>Complete</v>
      </c>
      <c r="N6" s="5" t="s">
        <v>45</v>
      </c>
      <c r="O6" s="7"/>
    </row>
    <row r="7" spans="1:18" ht="22.5" customHeight="1">
      <c r="A7" s="4">
        <v>46165.609089884259</v>
      </c>
      <c r="B7" s="5" t="s">
        <v>46</v>
      </c>
      <c r="C7" s="5">
        <v>7003378345</v>
      </c>
      <c r="D7" s="5" t="s">
        <v>19</v>
      </c>
      <c r="E7" s="5" t="s">
        <v>20</v>
      </c>
      <c r="F7" s="5" t="s">
        <v>21</v>
      </c>
      <c r="G7" s="5">
        <v>8</v>
      </c>
      <c r="H7" s="5" t="s">
        <v>22</v>
      </c>
      <c r="I7" s="6" t="s">
        <v>47</v>
      </c>
      <c r="J7" s="5" t="s">
        <v>39</v>
      </c>
      <c r="K7" s="5"/>
      <c r="L7" s="5"/>
      <c r="M7" s="5" t="str">
        <f t="shared" si="0"/>
        <v>Pending</v>
      </c>
      <c r="N7" s="5" t="s">
        <v>45</v>
      </c>
      <c r="O7" s="7"/>
    </row>
    <row r="8" spans="1:18" ht="22.5" customHeight="1">
      <c r="A8" s="4">
        <v>46165.626659988426</v>
      </c>
      <c r="B8" s="5" t="s">
        <v>48</v>
      </c>
      <c r="C8" s="5">
        <v>9547008025</v>
      </c>
      <c r="D8" s="5" t="s">
        <v>19</v>
      </c>
      <c r="E8" s="5" t="s">
        <v>20</v>
      </c>
      <c r="F8" s="5" t="s">
        <v>21</v>
      </c>
      <c r="G8" s="5">
        <v>2</v>
      </c>
      <c r="H8" s="5" t="s">
        <v>22</v>
      </c>
      <c r="I8" s="6" t="s">
        <v>49</v>
      </c>
      <c r="J8" s="5"/>
      <c r="K8" s="5"/>
      <c r="L8" s="5">
        <v>500</v>
      </c>
      <c r="M8" s="5" t="str">
        <f t="shared" si="0"/>
        <v>Complete</v>
      </c>
      <c r="N8" s="5" t="s">
        <v>50</v>
      </c>
      <c r="O8" s="7"/>
    </row>
    <row r="9" spans="1:18" ht="22.5" customHeight="1">
      <c r="A9" s="4">
        <v>46165.841955567128</v>
      </c>
      <c r="B9" s="5" t="s">
        <v>51</v>
      </c>
      <c r="C9" s="5">
        <v>9088330933</v>
      </c>
      <c r="D9" s="5" t="s">
        <v>19</v>
      </c>
      <c r="E9" s="5" t="s">
        <v>20</v>
      </c>
      <c r="F9" s="5" t="s">
        <v>21</v>
      </c>
      <c r="G9" s="5">
        <v>5</v>
      </c>
      <c r="H9" s="5" t="s">
        <v>22</v>
      </c>
      <c r="I9" s="11" t="s">
        <v>52</v>
      </c>
      <c r="M9" s="5" t="str">
        <f t="shared" si="0"/>
        <v>Pending</v>
      </c>
      <c r="N9" s="5" t="s">
        <v>45</v>
      </c>
      <c r="O9" s="7"/>
    </row>
    <row r="10" spans="1:18" ht="22.5" customHeight="1">
      <c r="A10" s="4">
        <v>46165.919350706019</v>
      </c>
      <c r="B10" s="5" t="s">
        <v>53</v>
      </c>
      <c r="C10" s="5">
        <v>8584991332</v>
      </c>
      <c r="D10" s="5" t="s">
        <v>19</v>
      </c>
      <c r="E10" s="5" t="s">
        <v>20</v>
      </c>
      <c r="F10" s="5" t="s">
        <v>34</v>
      </c>
      <c r="G10" s="5">
        <v>5</v>
      </c>
      <c r="H10" s="5" t="s">
        <v>22</v>
      </c>
      <c r="I10" s="11" t="s">
        <v>54</v>
      </c>
      <c r="L10" s="5">
        <v>500</v>
      </c>
      <c r="M10" s="5" t="str">
        <f t="shared" si="0"/>
        <v>Complete</v>
      </c>
      <c r="N10" s="5" t="s">
        <v>25</v>
      </c>
      <c r="O10" s="5" t="s">
        <v>55</v>
      </c>
    </row>
    <row r="11" spans="1:18" ht="22.5" customHeight="1">
      <c r="A11" s="4">
        <v>46165.930787222227</v>
      </c>
      <c r="B11" s="5" t="s">
        <v>56</v>
      </c>
      <c r="C11" s="5">
        <v>8100508692</v>
      </c>
      <c r="D11" s="5" t="s">
        <v>19</v>
      </c>
      <c r="E11" s="5" t="s">
        <v>20</v>
      </c>
      <c r="F11" s="5" t="s">
        <v>42</v>
      </c>
      <c r="G11" s="5">
        <v>7</v>
      </c>
      <c r="H11" s="5" t="s">
        <v>22</v>
      </c>
      <c r="I11" s="11" t="s">
        <v>57</v>
      </c>
      <c r="K11" s="5">
        <v>8100508692</v>
      </c>
      <c r="L11" s="5"/>
      <c r="M11" s="5" t="str">
        <f t="shared" si="0"/>
        <v>Pending</v>
      </c>
      <c r="N11" s="5" t="s">
        <v>50</v>
      </c>
      <c r="O11" s="7"/>
    </row>
    <row r="12" spans="1:18" ht="22.5" customHeight="1">
      <c r="A12" s="4">
        <v>46166.100599872691</v>
      </c>
      <c r="B12" s="5" t="s">
        <v>58</v>
      </c>
      <c r="C12" s="5">
        <v>7890403653</v>
      </c>
      <c r="D12" s="5" t="s">
        <v>19</v>
      </c>
      <c r="E12" s="5" t="s">
        <v>20</v>
      </c>
      <c r="F12" s="5" t="s">
        <v>42</v>
      </c>
      <c r="G12" s="5">
        <v>3</v>
      </c>
      <c r="H12" s="5" t="s">
        <v>22</v>
      </c>
      <c r="I12" s="11" t="s">
        <v>59</v>
      </c>
      <c r="J12" s="5" t="s">
        <v>39</v>
      </c>
      <c r="K12" s="5">
        <v>7890403653</v>
      </c>
      <c r="L12" s="5"/>
      <c r="M12" s="5" t="str">
        <f t="shared" si="0"/>
        <v>Pending</v>
      </c>
      <c r="N12" s="5" t="s">
        <v>50</v>
      </c>
      <c r="O12" s="7"/>
    </row>
    <row r="13" spans="1:18" ht="22.5" customHeight="1">
      <c r="A13" s="4">
        <v>46166.429140034721</v>
      </c>
      <c r="B13" s="5" t="s">
        <v>60</v>
      </c>
      <c r="C13" s="5">
        <v>9123927380</v>
      </c>
      <c r="D13" s="5" t="s">
        <v>19</v>
      </c>
      <c r="E13" s="5" t="s">
        <v>20</v>
      </c>
      <c r="F13" s="5" t="s">
        <v>42</v>
      </c>
      <c r="G13" s="5">
        <v>2</v>
      </c>
      <c r="H13" s="5" t="s">
        <v>22</v>
      </c>
      <c r="I13" s="11" t="s">
        <v>61</v>
      </c>
      <c r="K13" s="5">
        <v>9123927380</v>
      </c>
      <c r="L13" s="5">
        <v>500</v>
      </c>
      <c r="M13" s="5" t="str">
        <f t="shared" si="0"/>
        <v>Complete</v>
      </c>
      <c r="N13" s="5" t="s">
        <v>50</v>
      </c>
      <c r="O13" s="7"/>
    </row>
    <row r="14" spans="1:18" ht="22.5" customHeight="1">
      <c r="A14" s="4">
        <v>46166.529466111111</v>
      </c>
      <c r="B14" s="5" t="s">
        <v>62</v>
      </c>
      <c r="C14" s="5">
        <v>7439065112</v>
      </c>
      <c r="D14" s="5" t="s">
        <v>19</v>
      </c>
      <c r="E14" s="5" t="s">
        <v>20</v>
      </c>
      <c r="F14" s="5" t="s">
        <v>34</v>
      </c>
      <c r="G14" s="5">
        <v>10</v>
      </c>
      <c r="H14" s="5" t="s">
        <v>22</v>
      </c>
      <c r="I14" s="11" t="s">
        <v>63</v>
      </c>
      <c r="J14" s="5" t="s">
        <v>64</v>
      </c>
      <c r="K14" s="5">
        <v>9038044929</v>
      </c>
      <c r="L14" s="5">
        <v>500</v>
      </c>
      <c r="M14" s="5" t="str">
        <f t="shared" si="0"/>
        <v>Complete</v>
      </c>
      <c r="N14" s="5" t="s">
        <v>40</v>
      </c>
      <c r="O14" s="7"/>
    </row>
    <row r="15" spans="1:18" ht="22.5" customHeight="1">
      <c r="A15" s="4">
        <v>46166.581927905092</v>
      </c>
      <c r="B15" s="5" t="s">
        <v>65</v>
      </c>
      <c r="C15" s="5">
        <v>9654581813</v>
      </c>
      <c r="D15" s="5" t="s">
        <v>19</v>
      </c>
      <c r="E15" s="5" t="s">
        <v>20</v>
      </c>
      <c r="F15" s="5" t="s">
        <v>34</v>
      </c>
      <c r="G15" s="5">
        <v>10</v>
      </c>
      <c r="H15" s="5" t="s">
        <v>22</v>
      </c>
      <c r="I15" s="11" t="s">
        <v>66</v>
      </c>
      <c r="J15" s="5" t="s">
        <v>67</v>
      </c>
      <c r="K15" s="5">
        <v>8777357716</v>
      </c>
      <c r="L15" s="5">
        <v>800</v>
      </c>
      <c r="M15" s="5" t="str">
        <f t="shared" si="0"/>
        <v>Complete</v>
      </c>
      <c r="N15" s="5" t="s">
        <v>29</v>
      </c>
      <c r="O15" s="7"/>
    </row>
    <row r="16" spans="1:18" ht="22.5" customHeight="1">
      <c r="A16" s="4">
        <v>46166.630177754632</v>
      </c>
      <c r="B16" s="5" t="s">
        <v>68</v>
      </c>
      <c r="C16" s="5">
        <v>8224882571</v>
      </c>
      <c r="D16" s="5" t="s">
        <v>19</v>
      </c>
      <c r="E16" s="5" t="s">
        <v>20</v>
      </c>
      <c r="F16" s="5" t="s">
        <v>21</v>
      </c>
      <c r="G16" s="5">
        <v>10</v>
      </c>
      <c r="H16" s="5" t="s">
        <v>22</v>
      </c>
      <c r="I16" s="11" t="s">
        <v>69</v>
      </c>
      <c r="K16" s="5">
        <v>8224882571</v>
      </c>
      <c r="L16" s="5">
        <v>500</v>
      </c>
      <c r="M16" s="5" t="str">
        <f t="shared" si="0"/>
        <v>Complete</v>
      </c>
      <c r="N16" s="5" t="s">
        <v>25</v>
      </c>
      <c r="O16" s="5" t="s">
        <v>70</v>
      </c>
    </row>
    <row r="17" spans="1:15" ht="22.5" customHeight="1">
      <c r="A17" s="4">
        <v>46166.948742708337</v>
      </c>
      <c r="B17" s="5" t="s">
        <v>71</v>
      </c>
      <c r="C17" s="5">
        <v>9088126567</v>
      </c>
      <c r="D17" s="5" t="s">
        <v>19</v>
      </c>
      <c r="E17" s="5" t="s">
        <v>20</v>
      </c>
      <c r="F17" s="5" t="s">
        <v>42</v>
      </c>
      <c r="G17" s="5">
        <v>7</v>
      </c>
      <c r="H17" s="5" t="s">
        <v>22</v>
      </c>
      <c r="I17" s="11" t="s">
        <v>72</v>
      </c>
      <c r="J17" s="5" t="s">
        <v>73</v>
      </c>
      <c r="K17" s="5">
        <v>9088126567</v>
      </c>
      <c r="L17" s="5">
        <v>500</v>
      </c>
      <c r="M17" s="5" t="str">
        <f t="shared" si="0"/>
        <v>Complete</v>
      </c>
      <c r="N17" s="5" t="s">
        <v>25</v>
      </c>
      <c r="O17" s="5" t="s">
        <v>74</v>
      </c>
    </row>
    <row r="18" spans="1:15" ht="22.5" customHeight="1">
      <c r="A18" s="4">
        <v>46166.981706770835</v>
      </c>
      <c r="B18" s="5" t="s">
        <v>75</v>
      </c>
      <c r="C18" s="5">
        <v>8585808364</v>
      </c>
      <c r="D18" s="5" t="s">
        <v>19</v>
      </c>
      <c r="E18" s="5" t="s">
        <v>20</v>
      </c>
      <c r="F18" s="5" t="s">
        <v>21</v>
      </c>
      <c r="G18" s="5">
        <v>5</v>
      </c>
      <c r="H18" s="5" t="s">
        <v>22</v>
      </c>
      <c r="I18" s="11" t="s">
        <v>76</v>
      </c>
      <c r="K18" s="5">
        <v>8585808364</v>
      </c>
      <c r="L18" s="5">
        <v>500</v>
      </c>
      <c r="M18" s="5" t="str">
        <f t="shared" si="0"/>
        <v>Complete</v>
      </c>
      <c r="N18" s="5" t="s">
        <v>45</v>
      </c>
      <c r="O18" s="5" t="s">
        <v>70</v>
      </c>
    </row>
    <row r="19" spans="1:15" ht="22.5" customHeight="1">
      <c r="A19" s="4">
        <v>46167.779514270835</v>
      </c>
      <c r="B19" s="5" t="s">
        <v>77</v>
      </c>
      <c r="C19" s="5">
        <v>6290270377</v>
      </c>
      <c r="D19" s="5" t="s">
        <v>19</v>
      </c>
      <c r="E19" s="5" t="s">
        <v>20</v>
      </c>
      <c r="F19" s="5" t="s">
        <v>21</v>
      </c>
      <c r="G19" s="5">
        <v>1</v>
      </c>
      <c r="H19" s="5" t="s">
        <v>22</v>
      </c>
      <c r="I19" s="11" t="s">
        <v>78</v>
      </c>
      <c r="J19" s="5" t="s">
        <v>79</v>
      </c>
      <c r="K19" s="5">
        <v>6290270377</v>
      </c>
      <c r="L19" s="5">
        <v>500</v>
      </c>
      <c r="M19" s="5" t="str">
        <f t="shared" si="0"/>
        <v>Complete</v>
      </c>
      <c r="N19" s="5" t="s">
        <v>40</v>
      </c>
      <c r="O19" s="7"/>
    </row>
    <row r="20" spans="1:15" ht="22.5" customHeight="1">
      <c r="A20" s="4">
        <v>46167.790258425928</v>
      </c>
      <c r="B20" s="5" t="s">
        <v>80</v>
      </c>
      <c r="C20" s="5">
        <v>8981470319</v>
      </c>
      <c r="D20" s="5" t="s">
        <v>19</v>
      </c>
      <c r="E20" s="5" t="s">
        <v>20</v>
      </c>
      <c r="F20" s="5" t="s">
        <v>21</v>
      </c>
      <c r="G20" s="5">
        <v>6</v>
      </c>
      <c r="H20" s="5" t="s">
        <v>22</v>
      </c>
      <c r="I20" s="11" t="s">
        <v>81</v>
      </c>
      <c r="K20" s="5">
        <v>8981470319</v>
      </c>
      <c r="L20" s="5">
        <v>500</v>
      </c>
      <c r="M20" s="5" t="str">
        <f t="shared" si="0"/>
        <v>Complete</v>
      </c>
      <c r="N20" s="5" t="s">
        <v>50</v>
      </c>
      <c r="O20" s="12" t="s">
        <v>82</v>
      </c>
    </row>
    <row r="21" spans="1:15" ht="22.5" customHeight="1">
      <c r="A21" s="4">
        <v>46167.806422476853</v>
      </c>
      <c r="B21" s="5" t="s">
        <v>83</v>
      </c>
      <c r="C21" s="5">
        <v>7980721344</v>
      </c>
      <c r="D21" s="5" t="s">
        <v>19</v>
      </c>
      <c r="E21" s="5" t="s">
        <v>20</v>
      </c>
      <c r="F21" s="5" t="s">
        <v>21</v>
      </c>
      <c r="G21" s="5">
        <v>8</v>
      </c>
      <c r="H21" s="5" t="s">
        <v>22</v>
      </c>
      <c r="I21" s="11" t="s">
        <v>84</v>
      </c>
      <c r="J21" s="5" t="s">
        <v>85</v>
      </c>
      <c r="K21" s="5">
        <v>7980721344</v>
      </c>
      <c r="L21" s="5">
        <v>500</v>
      </c>
      <c r="M21" s="5" t="str">
        <f t="shared" si="0"/>
        <v>Complete</v>
      </c>
      <c r="N21" s="5" t="s">
        <v>40</v>
      </c>
      <c r="O21" s="7"/>
    </row>
    <row r="22" spans="1:15" ht="22.5" customHeight="1">
      <c r="A22" s="4">
        <v>46167.826456516203</v>
      </c>
      <c r="B22" s="5" t="s">
        <v>86</v>
      </c>
      <c r="C22" s="5">
        <v>8777353249</v>
      </c>
      <c r="D22" s="5" t="s">
        <v>19</v>
      </c>
      <c r="E22" s="5" t="s">
        <v>20</v>
      </c>
      <c r="F22" s="5" t="s">
        <v>34</v>
      </c>
      <c r="G22" s="5">
        <v>5</v>
      </c>
      <c r="H22" s="5" t="s">
        <v>22</v>
      </c>
      <c r="I22" s="11" t="s">
        <v>87</v>
      </c>
      <c r="J22" s="5" t="s">
        <v>88</v>
      </c>
      <c r="K22" s="5">
        <v>8777353249</v>
      </c>
      <c r="L22" s="5">
        <v>800</v>
      </c>
      <c r="M22" s="5" t="str">
        <f t="shared" si="0"/>
        <v>Complete</v>
      </c>
      <c r="N22" s="5" t="s">
        <v>29</v>
      </c>
      <c r="O22" s="7"/>
    </row>
    <row r="23" spans="1:15" ht="22.5" customHeight="1">
      <c r="A23" s="4">
        <v>46167.888944120372</v>
      </c>
      <c r="B23" s="5" t="s">
        <v>89</v>
      </c>
      <c r="C23" s="5">
        <v>6290007449</v>
      </c>
      <c r="D23" s="5" t="s">
        <v>19</v>
      </c>
      <c r="E23" s="5" t="s">
        <v>20</v>
      </c>
      <c r="F23" s="5" t="s">
        <v>21</v>
      </c>
      <c r="G23" s="5">
        <v>10</v>
      </c>
      <c r="H23" s="5" t="s">
        <v>22</v>
      </c>
      <c r="I23" s="11" t="s">
        <v>90</v>
      </c>
      <c r="J23" s="5" t="s">
        <v>91</v>
      </c>
      <c r="K23" s="5">
        <v>6290007449</v>
      </c>
      <c r="L23" s="5">
        <v>500</v>
      </c>
      <c r="M23" s="5" t="str">
        <f t="shared" si="0"/>
        <v>Complete</v>
      </c>
      <c r="N23" s="5" t="s">
        <v>40</v>
      </c>
      <c r="O23" s="7"/>
    </row>
    <row r="24" spans="1:15" ht="22.5" customHeight="1">
      <c r="A24" s="4">
        <v>46168.017388842592</v>
      </c>
      <c r="B24" s="5" t="s">
        <v>92</v>
      </c>
      <c r="C24" s="5">
        <v>9038189636</v>
      </c>
      <c r="D24" s="5" t="s">
        <v>19</v>
      </c>
      <c r="E24" s="5" t="s">
        <v>20</v>
      </c>
      <c r="F24" s="5" t="s">
        <v>42</v>
      </c>
      <c r="G24" s="5">
        <v>6</v>
      </c>
      <c r="H24" s="5" t="s">
        <v>22</v>
      </c>
      <c r="I24" s="11" t="s">
        <v>93</v>
      </c>
      <c r="K24" s="5">
        <v>8910941319</v>
      </c>
      <c r="L24" s="5">
        <v>500</v>
      </c>
      <c r="M24" s="5" t="str">
        <f t="shared" si="0"/>
        <v>Complete</v>
      </c>
      <c r="N24" s="5" t="s">
        <v>45</v>
      </c>
      <c r="O24" s="5"/>
    </row>
    <row r="25" spans="1:15" ht="22.5" customHeight="1">
      <c r="A25" s="4">
        <v>46168.018543206017</v>
      </c>
      <c r="B25" s="5" t="s">
        <v>94</v>
      </c>
      <c r="C25" s="5">
        <v>7003662153</v>
      </c>
      <c r="D25" s="5" t="s">
        <v>19</v>
      </c>
      <c r="E25" s="5" t="s">
        <v>20</v>
      </c>
      <c r="F25" s="5" t="s">
        <v>42</v>
      </c>
      <c r="G25" s="5">
        <v>10</v>
      </c>
      <c r="H25" s="5" t="s">
        <v>22</v>
      </c>
      <c r="I25" s="11" t="s">
        <v>95</v>
      </c>
      <c r="J25" s="5" t="s">
        <v>96</v>
      </c>
      <c r="K25" s="5">
        <v>7003662153</v>
      </c>
      <c r="L25" s="5">
        <v>500</v>
      </c>
      <c r="M25" s="5" t="str">
        <f t="shared" si="0"/>
        <v>Complete</v>
      </c>
      <c r="N25" s="5" t="s">
        <v>50</v>
      </c>
      <c r="O25" s="5"/>
    </row>
    <row r="26" spans="1:15" ht="22.5" customHeight="1">
      <c r="A26" s="4">
        <v>46168.364461435187</v>
      </c>
      <c r="B26" s="5" t="s">
        <v>97</v>
      </c>
      <c r="C26" s="5">
        <v>8583808935</v>
      </c>
      <c r="D26" s="5" t="s">
        <v>19</v>
      </c>
      <c r="E26" s="5" t="s">
        <v>20</v>
      </c>
      <c r="F26" s="5" t="s">
        <v>21</v>
      </c>
      <c r="G26" s="5">
        <v>6</v>
      </c>
      <c r="H26" s="5" t="s">
        <v>22</v>
      </c>
      <c r="I26" s="11" t="s">
        <v>98</v>
      </c>
      <c r="K26" s="5">
        <v>8583808935</v>
      </c>
      <c r="L26" s="5">
        <v>500</v>
      </c>
      <c r="M26" s="5" t="str">
        <f t="shared" si="0"/>
        <v>Complete</v>
      </c>
      <c r="N26" s="5" t="s">
        <v>45</v>
      </c>
      <c r="O26" s="5"/>
    </row>
    <row r="27" spans="1:15" ht="22.5" customHeight="1">
      <c r="A27" s="4">
        <v>46172.431432199075</v>
      </c>
      <c r="B27" s="5" t="s">
        <v>99</v>
      </c>
      <c r="C27" s="5">
        <v>8981936020</v>
      </c>
      <c r="D27" s="5" t="s">
        <v>19</v>
      </c>
      <c r="E27" s="5" t="s">
        <v>20</v>
      </c>
      <c r="F27" s="5" t="s">
        <v>34</v>
      </c>
      <c r="G27" s="5">
        <v>8</v>
      </c>
      <c r="H27" s="5" t="s">
        <v>22</v>
      </c>
      <c r="I27" s="11" t="s">
        <v>100</v>
      </c>
      <c r="J27" s="5" t="s">
        <v>24</v>
      </c>
      <c r="K27" s="5">
        <v>8981936020</v>
      </c>
      <c r="L27" s="5">
        <v>500</v>
      </c>
      <c r="M27" s="5" t="str">
        <f t="shared" si="0"/>
        <v>Complete</v>
      </c>
      <c r="N27" s="5" t="s">
        <v>45</v>
      </c>
    </row>
    <row r="28" spans="1:15" ht="22.5" customHeight="1">
      <c r="A28" s="4">
        <v>46172.439203414353</v>
      </c>
      <c r="B28" s="5" t="s">
        <v>101</v>
      </c>
      <c r="C28" s="5">
        <v>9144868713</v>
      </c>
      <c r="D28" s="5" t="s">
        <v>19</v>
      </c>
      <c r="E28" s="5" t="s">
        <v>20</v>
      </c>
      <c r="F28" s="5" t="s">
        <v>34</v>
      </c>
      <c r="G28" s="5">
        <v>9</v>
      </c>
      <c r="H28" s="5" t="s">
        <v>22</v>
      </c>
      <c r="I28" s="11" t="s">
        <v>102</v>
      </c>
      <c r="J28" s="5" t="s">
        <v>73</v>
      </c>
      <c r="K28" s="5">
        <v>9144868713</v>
      </c>
      <c r="L28" s="5">
        <v>500</v>
      </c>
      <c r="M28" s="5" t="str">
        <f t="shared" si="0"/>
        <v>Complete</v>
      </c>
      <c r="N28" s="5" t="s">
        <v>45</v>
      </c>
    </row>
    <row r="29" spans="1:15" ht="22.5" customHeight="1">
      <c r="A29" s="4">
        <v>46172.557223263888</v>
      </c>
      <c r="B29" s="5" t="s">
        <v>103</v>
      </c>
      <c r="C29" s="5">
        <v>7003388162</v>
      </c>
      <c r="D29" s="5" t="s">
        <v>19</v>
      </c>
      <c r="E29" s="5" t="s">
        <v>20</v>
      </c>
      <c r="F29" s="5" t="s">
        <v>42</v>
      </c>
      <c r="G29" s="5">
        <v>1</v>
      </c>
      <c r="H29" s="5" t="s">
        <v>104</v>
      </c>
      <c r="I29" s="11" t="s">
        <v>105</v>
      </c>
      <c r="K29" s="5">
        <v>7003388162</v>
      </c>
      <c r="L29" s="5">
        <v>500</v>
      </c>
      <c r="M29" s="5" t="str">
        <f t="shared" si="0"/>
        <v>Complete</v>
      </c>
      <c r="N29" s="5" t="s">
        <v>45</v>
      </c>
    </row>
    <row r="30" spans="1:15" ht="22.5" customHeight="1">
      <c r="A30" s="4">
        <v>46172.811893275459</v>
      </c>
      <c r="B30" s="5" t="s">
        <v>106</v>
      </c>
      <c r="C30" s="5">
        <v>7003347354</v>
      </c>
      <c r="D30" s="5" t="s">
        <v>19</v>
      </c>
      <c r="E30" s="5" t="s">
        <v>20</v>
      </c>
      <c r="F30" s="5" t="s">
        <v>34</v>
      </c>
      <c r="G30" s="5">
        <v>1</v>
      </c>
      <c r="H30" s="5" t="s">
        <v>22</v>
      </c>
      <c r="I30" s="11" t="s">
        <v>107</v>
      </c>
      <c r="K30" s="5">
        <v>7003347354</v>
      </c>
      <c r="L30" s="5">
        <v>500</v>
      </c>
      <c r="M30" s="5" t="str">
        <f t="shared" si="0"/>
        <v>Complete</v>
      </c>
      <c r="N30" s="5" t="s">
        <v>50</v>
      </c>
    </row>
    <row r="31" spans="1:15" ht="22.5" customHeight="1">
      <c r="A31" s="4">
        <v>46174.563739502315</v>
      </c>
      <c r="B31" s="5" t="s">
        <v>108</v>
      </c>
      <c r="C31" s="5">
        <v>8478875174</v>
      </c>
      <c r="D31" s="5" t="s">
        <v>19</v>
      </c>
      <c r="E31" s="5" t="s">
        <v>20</v>
      </c>
      <c r="F31" s="5" t="s">
        <v>21</v>
      </c>
      <c r="G31" s="5">
        <v>7</v>
      </c>
      <c r="H31" s="5" t="s">
        <v>22</v>
      </c>
      <c r="I31" s="11" t="s">
        <v>109</v>
      </c>
      <c r="K31" s="5">
        <v>8478875174</v>
      </c>
      <c r="L31" s="5">
        <v>500</v>
      </c>
      <c r="M31" s="5" t="str">
        <f t="shared" si="0"/>
        <v>Complete</v>
      </c>
      <c r="N31" s="5" t="s">
        <v>50</v>
      </c>
    </row>
    <row r="32" spans="1:15" ht="22.5" customHeight="1">
      <c r="A32" s="4">
        <v>46174.585394594906</v>
      </c>
      <c r="B32" s="5" t="s">
        <v>110</v>
      </c>
      <c r="C32" s="5">
        <v>8670063670</v>
      </c>
      <c r="D32" s="5" t="s">
        <v>19</v>
      </c>
      <c r="E32" s="5" t="s">
        <v>20</v>
      </c>
      <c r="F32" s="5" t="s">
        <v>42</v>
      </c>
      <c r="G32" s="5">
        <v>6</v>
      </c>
      <c r="H32" s="5" t="s">
        <v>22</v>
      </c>
      <c r="I32" s="11" t="s">
        <v>111</v>
      </c>
      <c r="J32" s="5" t="s">
        <v>112</v>
      </c>
      <c r="K32" s="5">
        <v>8670063670</v>
      </c>
      <c r="L32" s="5">
        <v>500</v>
      </c>
      <c r="M32" s="5" t="str">
        <f t="shared" si="0"/>
        <v>Complete</v>
      </c>
      <c r="N32" s="5" t="s">
        <v>25</v>
      </c>
    </row>
    <row r="33" spans="1:15" ht="22.5" customHeight="1">
      <c r="A33" s="4">
        <v>46175.00822256945</v>
      </c>
      <c r="B33" s="5" t="s">
        <v>113</v>
      </c>
      <c r="C33" s="5">
        <v>9330693101</v>
      </c>
      <c r="D33" s="5" t="s">
        <v>114</v>
      </c>
      <c r="E33" s="5" t="s">
        <v>20</v>
      </c>
      <c r="F33" s="5" t="s">
        <v>42</v>
      </c>
      <c r="G33" s="5">
        <v>2</v>
      </c>
      <c r="H33" s="5" t="s">
        <v>22</v>
      </c>
      <c r="I33" s="13" t="s">
        <v>115</v>
      </c>
      <c r="J33" s="5" t="s">
        <v>73</v>
      </c>
      <c r="K33" s="5">
        <v>9330693101</v>
      </c>
      <c r="L33" s="5">
        <v>500</v>
      </c>
      <c r="M33" s="5" t="str">
        <f t="shared" si="0"/>
        <v>Complete</v>
      </c>
      <c r="N33" s="5" t="s">
        <v>25</v>
      </c>
    </row>
    <row r="34" spans="1:15" ht="22.5" customHeight="1">
      <c r="A34" s="4">
        <v>46175.870592800929</v>
      </c>
      <c r="B34" s="5" t="s">
        <v>116</v>
      </c>
      <c r="C34" s="5">
        <v>9836867702</v>
      </c>
      <c r="D34" s="5" t="s">
        <v>19</v>
      </c>
      <c r="E34" s="5" t="s">
        <v>20</v>
      </c>
      <c r="F34" s="5" t="s">
        <v>34</v>
      </c>
      <c r="G34" s="5">
        <v>7</v>
      </c>
      <c r="H34" s="5" t="s">
        <v>22</v>
      </c>
      <c r="I34" s="11" t="s">
        <v>117</v>
      </c>
      <c r="K34" s="5">
        <v>9836867702</v>
      </c>
      <c r="M34" s="5" t="str">
        <f t="shared" si="0"/>
        <v>Pending</v>
      </c>
      <c r="N34" s="5" t="s">
        <v>40</v>
      </c>
    </row>
    <row r="35" spans="1:15" ht="22.5" customHeight="1">
      <c r="A35" s="4">
        <v>46175.933714016202</v>
      </c>
      <c r="B35" s="5" t="s">
        <v>118</v>
      </c>
      <c r="C35" s="5">
        <v>9330279692</v>
      </c>
      <c r="D35" s="5" t="s">
        <v>19</v>
      </c>
      <c r="E35" s="5" t="s">
        <v>20</v>
      </c>
      <c r="F35" s="5" t="s">
        <v>34</v>
      </c>
      <c r="G35" s="5">
        <v>6</v>
      </c>
      <c r="H35" s="5" t="s">
        <v>22</v>
      </c>
      <c r="I35" s="11" t="s">
        <v>119</v>
      </c>
      <c r="J35" s="5" t="s">
        <v>120</v>
      </c>
      <c r="K35" s="5">
        <v>9330279692</v>
      </c>
      <c r="M35" s="5" t="str">
        <f t="shared" si="0"/>
        <v>Pending</v>
      </c>
      <c r="N35" s="5" t="s">
        <v>50</v>
      </c>
    </row>
    <row r="36" spans="1:15" ht="22.5" customHeight="1">
      <c r="A36" s="4">
        <v>46175.961848344909</v>
      </c>
      <c r="B36" s="5" t="s">
        <v>121</v>
      </c>
      <c r="C36" s="5">
        <v>9674773735</v>
      </c>
      <c r="D36" s="5" t="s">
        <v>19</v>
      </c>
      <c r="E36" s="5" t="s">
        <v>20</v>
      </c>
      <c r="F36" s="5" t="s">
        <v>34</v>
      </c>
      <c r="G36" s="5">
        <v>8</v>
      </c>
      <c r="H36" s="5" t="s">
        <v>22</v>
      </c>
      <c r="I36" s="11" t="s">
        <v>122</v>
      </c>
      <c r="K36" s="5">
        <v>9674773735</v>
      </c>
      <c r="L36" s="5">
        <v>500</v>
      </c>
      <c r="M36" s="5" t="str">
        <f t="shared" si="0"/>
        <v>Complete</v>
      </c>
      <c r="N36" s="5" t="s">
        <v>40</v>
      </c>
    </row>
    <row r="37" spans="1:15" ht="22.5" customHeight="1">
      <c r="A37" s="4">
        <v>46176.844581620375</v>
      </c>
      <c r="B37" s="5" t="s">
        <v>123</v>
      </c>
      <c r="C37" s="5">
        <v>8910827445</v>
      </c>
      <c r="D37" s="5" t="s">
        <v>19</v>
      </c>
      <c r="E37" s="5" t="s">
        <v>20</v>
      </c>
      <c r="F37" s="5" t="s">
        <v>42</v>
      </c>
      <c r="G37" s="5">
        <v>6</v>
      </c>
      <c r="H37" s="5" t="s">
        <v>22</v>
      </c>
      <c r="I37" s="11" t="s">
        <v>124</v>
      </c>
      <c r="K37" s="5">
        <v>8910827445</v>
      </c>
      <c r="M37" s="5" t="str">
        <f t="shared" si="0"/>
        <v>Pending</v>
      </c>
      <c r="N37" s="5" t="s">
        <v>25</v>
      </c>
    </row>
    <row r="38" spans="1:15" ht="22.5" customHeight="1">
      <c r="A38" s="4">
        <v>46177.436148877314</v>
      </c>
      <c r="B38" s="5" t="s">
        <v>125</v>
      </c>
      <c r="C38" s="5">
        <v>6290441191</v>
      </c>
      <c r="D38" s="5" t="s">
        <v>114</v>
      </c>
      <c r="E38" s="5" t="s">
        <v>126</v>
      </c>
      <c r="F38" s="5" t="s">
        <v>42</v>
      </c>
      <c r="G38" s="5">
        <v>6</v>
      </c>
      <c r="H38" s="5" t="s">
        <v>22</v>
      </c>
      <c r="I38" s="11" t="s">
        <v>127</v>
      </c>
      <c r="K38" s="5">
        <v>6290441191</v>
      </c>
      <c r="L38" s="5">
        <v>500</v>
      </c>
      <c r="M38" s="5" t="str">
        <f t="shared" si="0"/>
        <v>Complete</v>
      </c>
      <c r="N38" s="5" t="s">
        <v>25</v>
      </c>
    </row>
    <row r="39" spans="1:15" ht="22.5" customHeight="1">
      <c r="A39" s="4">
        <v>46177.47226224537</v>
      </c>
      <c r="B39" s="5" t="s">
        <v>128</v>
      </c>
      <c r="C39" s="5">
        <v>7980806314</v>
      </c>
      <c r="D39" s="5" t="s">
        <v>19</v>
      </c>
      <c r="E39" s="5" t="s">
        <v>20</v>
      </c>
      <c r="F39" s="5" t="s">
        <v>42</v>
      </c>
      <c r="G39" s="5">
        <v>5</v>
      </c>
      <c r="H39" s="5" t="s">
        <v>22</v>
      </c>
      <c r="I39" s="11" t="s">
        <v>129</v>
      </c>
      <c r="K39" s="5">
        <v>7980806314</v>
      </c>
      <c r="L39" s="5">
        <v>500</v>
      </c>
      <c r="M39" s="5" t="str">
        <f t="shared" si="0"/>
        <v>Complete</v>
      </c>
      <c r="N39" s="5" t="s">
        <v>25</v>
      </c>
    </row>
    <row r="40" spans="1:15" ht="22.5" customHeight="1">
      <c r="A40" s="4">
        <v>46177.738954189816</v>
      </c>
      <c r="B40" s="5" t="s">
        <v>130</v>
      </c>
      <c r="C40" s="5">
        <v>7980012825</v>
      </c>
      <c r="D40" s="5" t="s">
        <v>19</v>
      </c>
      <c r="E40" s="5" t="s">
        <v>20</v>
      </c>
      <c r="F40" s="5" t="s">
        <v>42</v>
      </c>
      <c r="G40" s="5">
        <v>7</v>
      </c>
      <c r="H40" s="5" t="s">
        <v>22</v>
      </c>
      <c r="I40" s="11" t="s">
        <v>131</v>
      </c>
      <c r="K40" s="5">
        <v>7980012825</v>
      </c>
      <c r="M40" s="5" t="str">
        <f t="shared" si="0"/>
        <v>Pending</v>
      </c>
      <c r="N40" s="5" t="s">
        <v>50</v>
      </c>
    </row>
    <row r="41" spans="1:15" ht="22.5" customHeight="1">
      <c r="A41" s="4">
        <v>46177.790396562501</v>
      </c>
      <c r="B41" s="5" t="s">
        <v>132</v>
      </c>
      <c r="C41" s="5">
        <v>9831617333</v>
      </c>
      <c r="D41" s="5" t="s">
        <v>19</v>
      </c>
      <c r="E41" s="5" t="s">
        <v>20</v>
      </c>
      <c r="F41" s="5" t="s">
        <v>42</v>
      </c>
      <c r="G41" s="5">
        <v>4</v>
      </c>
      <c r="H41" s="5" t="s">
        <v>22</v>
      </c>
      <c r="I41" s="11" t="s">
        <v>133</v>
      </c>
      <c r="K41" s="5">
        <v>9831617333</v>
      </c>
      <c r="L41" s="5">
        <v>500</v>
      </c>
      <c r="M41" s="5" t="str">
        <f t="shared" si="0"/>
        <v>Complete</v>
      </c>
      <c r="N41" s="5" t="s">
        <v>45</v>
      </c>
      <c r="O41" s="5" t="s">
        <v>134</v>
      </c>
    </row>
    <row r="42" spans="1:15" ht="22.5" customHeight="1">
      <c r="A42" s="4">
        <v>46177.838283900463</v>
      </c>
      <c r="B42" s="5" t="s">
        <v>135</v>
      </c>
      <c r="C42" s="5">
        <v>9836395778</v>
      </c>
      <c r="D42" s="5" t="s">
        <v>114</v>
      </c>
      <c r="E42" s="5" t="s">
        <v>20</v>
      </c>
      <c r="F42" s="5" t="s">
        <v>42</v>
      </c>
      <c r="G42" s="5">
        <v>9</v>
      </c>
      <c r="H42" s="5" t="s">
        <v>22</v>
      </c>
      <c r="I42" s="11" t="s">
        <v>136</v>
      </c>
      <c r="K42" s="5">
        <v>9836395778</v>
      </c>
      <c r="L42" s="5">
        <v>500</v>
      </c>
      <c r="M42" s="5" t="str">
        <f t="shared" si="0"/>
        <v>Complete</v>
      </c>
      <c r="N42" s="5" t="s">
        <v>45</v>
      </c>
    </row>
    <row r="43" spans="1:15" ht="22.5" customHeight="1">
      <c r="A43" s="4">
        <v>46177.916659965282</v>
      </c>
      <c r="B43" s="5" t="s">
        <v>137</v>
      </c>
      <c r="C43" s="5">
        <v>8420914374</v>
      </c>
      <c r="D43" s="5" t="s">
        <v>19</v>
      </c>
      <c r="E43" s="5" t="s">
        <v>20</v>
      </c>
      <c r="F43" s="5" t="s">
        <v>42</v>
      </c>
      <c r="G43" s="5">
        <v>10</v>
      </c>
      <c r="H43" s="5" t="s">
        <v>22</v>
      </c>
      <c r="I43" s="11" t="s">
        <v>138</v>
      </c>
      <c r="K43" s="5">
        <v>8420914374</v>
      </c>
      <c r="L43" s="5">
        <v>500</v>
      </c>
      <c r="M43" s="5" t="str">
        <f t="shared" si="0"/>
        <v>Complete</v>
      </c>
      <c r="N43" s="5" t="s">
        <v>50</v>
      </c>
    </row>
    <row r="44" spans="1:15" ht="22.5" customHeight="1">
      <c r="A44" s="4">
        <v>46177.933143333328</v>
      </c>
      <c r="B44" s="5" t="s">
        <v>139</v>
      </c>
      <c r="C44" s="5">
        <v>8442817344</v>
      </c>
      <c r="D44" s="5" t="s">
        <v>114</v>
      </c>
      <c r="E44" s="5" t="s">
        <v>20</v>
      </c>
      <c r="F44" s="5" t="s">
        <v>21</v>
      </c>
      <c r="G44" s="5">
        <v>5</v>
      </c>
      <c r="H44" s="5" t="s">
        <v>22</v>
      </c>
      <c r="I44" s="11" t="s">
        <v>140</v>
      </c>
      <c r="J44" s="5" t="s">
        <v>141</v>
      </c>
      <c r="K44" s="5">
        <v>8442817344</v>
      </c>
      <c r="L44" s="5">
        <v>500</v>
      </c>
      <c r="M44" s="5" t="str">
        <f t="shared" si="0"/>
        <v>Complete</v>
      </c>
      <c r="N44" s="5" t="s">
        <v>50</v>
      </c>
    </row>
    <row r="45" spans="1:15" ht="22.5" customHeight="1">
      <c r="A45" s="4">
        <v>46180.884842673608</v>
      </c>
      <c r="B45" s="5" t="s">
        <v>142</v>
      </c>
      <c r="C45" s="5">
        <v>9836622052</v>
      </c>
      <c r="D45" s="5" t="s">
        <v>114</v>
      </c>
      <c r="E45" s="5" t="s">
        <v>20</v>
      </c>
      <c r="F45" s="5" t="s">
        <v>21</v>
      </c>
      <c r="G45" s="5">
        <v>10</v>
      </c>
      <c r="H45" s="5" t="s">
        <v>22</v>
      </c>
      <c r="I45" s="11" t="s">
        <v>143</v>
      </c>
      <c r="K45" s="5">
        <v>9836622052</v>
      </c>
      <c r="L45" s="5">
        <v>500</v>
      </c>
      <c r="M45" s="5" t="str">
        <f t="shared" si="0"/>
        <v>Complete</v>
      </c>
      <c r="N45" s="5" t="s">
        <v>25</v>
      </c>
    </row>
    <row r="46" spans="1:15" ht="13.2">
      <c r="N46" s="14"/>
    </row>
    <row r="47" spans="1:15" ht="13.2">
      <c r="N47" s="14"/>
    </row>
    <row r="48" spans="1:15" ht="13.2">
      <c r="N48" s="14"/>
    </row>
    <row r="49" spans="14:14" ht="13.2">
      <c r="N49" s="14"/>
    </row>
    <row r="50" spans="14:14" ht="13.2">
      <c r="N50" s="14"/>
    </row>
    <row r="51" spans="14:14" ht="13.2">
      <c r="N51" s="14"/>
    </row>
    <row r="52" spans="14:14" ht="13.2">
      <c r="N52" s="14"/>
    </row>
    <row r="53" spans="14:14" ht="13.2">
      <c r="N53" s="14"/>
    </row>
    <row r="54" spans="14:14" ht="13.2">
      <c r="N54" s="14"/>
    </row>
    <row r="55" spans="14:14" ht="13.2">
      <c r="N55" s="14"/>
    </row>
    <row r="56" spans="14:14" ht="13.2">
      <c r="N56" s="14"/>
    </row>
    <row r="57" spans="14:14" ht="13.2">
      <c r="N57" s="14"/>
    </row>
    <row r="58" spans="14:14" ht="13.2">
      <c r="N58" s="14"/>
    </row>
    <row r="59" spans="14:14" ht="13.2">
      <c r="N59" s="14"/>
    </row>
    <row r="60" spans="14:14" ht="13.2">
      <c r="N60" s="14"/>
    </row>
    <row r="61" spans="14:14" ht="13.2">
      <c r="N61" s="14"/>
    </row>
    <row r="62" spans="14:14" ht="13.2">
      <c r="N62" s="14"/>
    </row>
    <row r="63" spans="14:14" ht="13.2">
      <c r="N63" s="14"/>
    </row>
    <row r="64" spans="14:14" ht="13.2">
      <c r="N64" s="14"/>
    </row>
    <row r="65" spans="14:14" ht="13.2">
      <c r="N65" s="14"/>
    </row>
    <row r="66" spans="14:14" ht="13.2">
      <c r="N66" s="14"/>
    </row>
    <row r="67" spans="14:14" ht="13.2">
      <c r="N67" s="14"/>
    </row>
    <row r="68" spans="14:14" ht="13.2">
      <c r="N68" s="14"/>
    </row>
    <row r="69" spans="14:14" ht="13.2">
      <c r="N69" s="14"/>
    </row>
    <row r="70" spans="14:14" ht="13.2">
      <c r="N70" s="14"/>
    </row>
    <row r="71" spans="14:14" ht="13.2">
      <c r="N71" s="14"/>
    </row>
    <row r="72" spans="14:14" ht="13.2">
      <c r="N72" s="14"/>
    </row>
    <row r="73" spans="14:14" ht="13.2">
      <c r="N73" s="14"/>
    </row>
    <row r="74" spans="14:14" ht="13.2">
      <c r="N74" s="14"/>
    </row>
    <row r="75" spans="14:14" ht="13.2">
      <c r="N75" s="14"/>
    </row>
    <row r="76" spans="14:14" ht="13.2">
      <c r="N76" s="14"/>
    </row>
    <row r="77" spans="14:14" ht="13.2">
      <c r="N77" s="14"/>
    </row>
    <row r="78" spans="14:14" ht="13.2">
      <c r="N78" s="14"/>
    </row>
    <row r="79" spans="14:14" ht="13.2">
      <c r="N79" s="14"/>
    </row>
    <row r="80" spans="14:14" ht="13.2">
      <c r="N80" s="14"/>
    </row>
    <row r="81" spans="14:14" ht="13.2">
      <c r="N81" s="14"/>
    </row>
    <row r="82" spans="14:14" ht="13.2">
      <c r="N82" s="14"/>
    </row>
    <row r="83" spans="14:14" ht="13.2">
      <c r="N83" s="14"/>
    </row>
    <row r="84" spans="14:14" ht="13.2">
      <c r="N84" s="14"/>
    </row>
    <row r="85" spans="14:14" ht="13.2">
      <c r="N85" s="14"/>
    </row>
    <row r="86" spans="14:14" ht="13.2">
      <c r="N86" s="14"/>
    </row>
    <row r="87" spans="14:14" ht="13.2">
      <c r="N87" s="14"/>
    </row>
    <row r="88" spans="14:14" ht="13.2">
      <c r="N88" s="14"/>
    </row>
    <row r="89" spans="14:14" ht="13.2">
      <c r="N89" s="14"/>
    </row>
    <row r="90" spans="14:14" ht="13.2">
      <c r="N90" s="14"/>
    </row>
    <row r="91" spans="14:14" ht="13.2">
      <c r="N91" s="14"/>
    </row>
    <row r="92" spans="14:14" ht="13.2">
      <c r="N92" s="14"/>
    </row>
    <row r="93" spans="14:14" ht="13.2">
      <c r="N93" s="14"/>
    </row>
    <row r="94" spans="14:14" ht="13.2">
      <c r="N94" s="14"/>
    </row>
    <row r="95" spans="14:14" ht="13.2">
      <c r="N95" s="14"/>
    </row>
    <row r="96" spans="14:14" ht="13.2">
      <c r="N96" s="14"/>
    </row>
    <row r="97" spans="14:14" ht="13.2">
      <c r="N97" s="14"/>
    </row>
    <row r="98" spans="14:14" ht="13.2">
      <c r="N98" s="14"/>
    </row>
    <row r="99" spans="14:14" ht="13.2">
      <c r="N99" s="14"/>
    </row>
    <row r="100" spans="14:14" ht="13.2">
      <c r="N100" s="14"/>
    </row>
    <row r="101" spans="14:14" ht="13.2">
      <c r="N101" s="14"/>
    </row>
    <row r="102" spans="14:14" ht="13.2">
      <c r="N102" s="14"/>
    </row>
    <row r="103" spans="14:14" ht="13.2">
      <c r="N103" s="14"/>
    </row>
    <row r="104" spans="14:14" ht="13.2">
      <c r="N104" s="14"/>
    </row>
    <row r="105" spans="14:14" ht="13.2">
      <c r="N105" s="14"/>
    </row>
    <row r="106" spans="14:14" ht="13.2">
      <c r="N106" s="14"/>
    </row>
    <row r="107" spans="14:14" ht="13.2">
      <c r="N107" s="14"/>
    </row>
    <row r="108" spans="14:14" ht="13.2">
      <c r="N108" s="14"/>
    </row>
    <row r="109" spans="14:14" ht="13.2">
      <c r="N109" s="14"/>
    </row>
    <row r="110" spans="14:14" ht="13.2">
      <c r="N110" s="14"/>
    </row>
    <row r="111" spans="14:14" ht="13.2">
      <c r="N111" s="14"/>
    </row>
    <row r="112" spans="14:14" ht="13.2">
      <c r="N112" s="14"/>
    </row>
    <row r="113" spans="14:14" ht="13.2">
      <c r="N113" s="14"/>
    </row>
    <row r="114" spans="14:14" ht="13.2">
      <c r="N114" s="14"/>
    </row>
    <row r="115" spans="14:14" ht="13.2">
      <c r="N115" s="14"/>
    </row>
    <row r="116" spans="14:14" ht="13.2">
      <c r="N116" s="14"/>
    </row>
    <row r="117" spans="14:14" ht="13.2">
      <c r="N117" s="14"/>
    </row>
    <row r="118" spans="14:14" ht="13.2">
      <c r="N118" s="14"/>
    </row>
    <row r="119" spans="14:14" ht="13.2">
      <c r="N119" s="14"/>
    </row>
    <row r="120" spans="14:14" ht="13.2">
      <c r="N120" s="14"/>
    </row>
    <row r="121" spans="14:14" ht="13.2">
      <c r="N121" s="14"/>
    </row>
    <row r="122" spans="14:14" ht="13.2">
      <c r="N122" s="14"/>
    </row>
    <row r="123" spans="14:14" ht="13.2">
      <c r="N123" s="14"/>
    </row>
    <row r="124" spans="14:14" ht="13.2">
      <c r="N124" s="14"/>
    </row>
    <row r="125" spans="14:14" ht="13.2">
      <c r="N125" s="14"/>
    </row>
    <row r="126" spans="14:14" ht="13.2">
      <c r="N126" s="14"/>
    </row>
    <row r="127" spans="14:14" ht="13.2">
      <c r="N127" s="14"/>
    </row>
    <row r="128" spans="14:14" ht="13.2">
      <c r="N128" s="14"/>
    </row>
    <row r="129" spans="14:14" ht="13.2">
      <c r="N129" s="14"/>
    </row>
    <row r="130" spans="14:14" ht="13.2">
      <c r="N130" s="14"/>
    </row>
    <row r="131" spans="14:14" ht="13.2">
      <c r="N131" s="14"/>
    </row>
    <row r="132" spans="14:14" ht="13.2">
      <c r="N132" s="14"/>
    </row>
    <row r="133" spans="14:14" ht="13.2">
      <c r="N133" s="14"/>
    </row>
    <row r="134" spans="14:14" ht="13.2">
      <c r="N134" s="14"/>
    </row>
    <row r="135" spans="14:14" ht="13.2">
      <c r="N135" s="14"/>
    </row>
    <row r="136" spans="14:14" ht="13.2">
      <c r="N136" s="14"/>
    </row>
    <row r="137" spans="14:14" ht="13.2">
      <c r="N137" s="14"/>
    </row>
    <row r="138" spans="14:14" ht="13.2">
      <c r="N138" s="14"/>
    </row>
    <row r="139" spans="14:14" ht="13.2">
      <c r="N139" s="14"/>
    </row>
    <row r="140" spans="14:14" ht="13.2">
      <c r="N140" s="14"/>
    </row>
    <row r="141" spans="14:14" ht="13.2">
      <c r="N141" s="14"/>
    </row>
    <row r="142" spans="14:14" ht="13.2">
      <c r="N142" s="14"/>
    </row>
    <row r="143" spans="14:14" ht="13.2">
      <c r="N143" s="14"/>
    </row>
    <row r="144" spans="14:14" ht="13.2">
      <c r="N144" s="14"/>
    </row>
  </sheetData>
  <conditionalFormatting sqref="M2:M118">
    <cfRule type="cellIs" dxfId="1" priority="1" operator="equal">
      <formula>"Complete"</formula>
    </cfRule>
    <cfRule type="cellIs" dxfId="0" priority="2" operator="equal">
      <formula>"Pending"</formula>
    </cfRule>
  </conditionalFormatting>
  <dataValidations count="1">
    <dataValidation type="list" allowBlank="1" sqref="M2:M45" xr:uid="{00000000-0002-0000-0000-000000000000}">
      <formula1>"Complete,Pending"</formula1>
    </dataValidation>
  </dataValidations>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 ref="I12" r:id="rId11" xr:uid="{00000000-0004-0000-0000-00000A000000}"/>
    <hyperlink ref="I13" r:id="rId12" xr:uid="{00000000-0004-0000-0000-00000B000000}"/>
    <hyperlink ref="I14" r:id="rId13" xr:uid="{00000000-0004-0000-0000-00000C000000}"/>
    <hyperlink ref="I15" r:id="rId14" xr:uid="{00000000-0004-0000-0000-00000D000000}"/>
    <hyperlink ref="I16" r:id="rId15" xr:uid="{00000000-0004-0000-0000-00000E000000}"/>
    <hyperlink ref="I17"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 ref="I30" r:id="rId29" xr:uid="{00000000-0004-0000-0000-00001C000000}"/>
    <hyperlink ref="I31" r:id="rId30" xr:uid="{00000000-0004-0000-0000-00001D000000}"/>
    <hyperlink ref="I32" r:id="rId31" xr:uid="{00000000-0004-0000-0000-00001E000000}"/>
    <hyperlink ref="I33" r:id="rId32" xr:uid="{00000000-0004-0000-0000-00001F000000}"/>
    <hyperlink ref="I34" r:id="rId33" xr:uid="{00000000-0004-0000-0000-000020000000}"/>
    <hyperlink ref="I35" r:id="rId34" xr:uid="{00000000-0004-0000-0000-000021000000}"/>
    <hyperlink ref="I36" r:id="rId35" xr:uid="{00000000-0004-0000-0000-000022000000}"/>
    <hyperlink ref="I37" r:id="rId36" xr:uid="{00000000-0004-0000-0000-000023000000}"/>
    <hyperlink ref="I38" r:id="rId37" xr:uid="{00000000-0004-0000-0000-000024000000}"/>
    <hyperlink ref="I39" r:id="rId38" xr:uid="{00000000-0004-0000-0000-000025000000}"/>
    <hyperlink ref="I40" r:id="rId39" xr:uid="{00000000-0004-0000-0000-000026000000}"/>
    <hyperlink ref="I41" r:id="rId40" xr:uid="{00000000-0004-0000-0000-000027000000}"/>
    <hyperlink ref="I42" r:id="rId41" xr:uid="{00000000-0004-0000-0000-000028000000}"/>
    <hyperlink ref="I43" r:id="rId42" xr:uid="{00000000-0004-0000-0000-000029000000}"/>
    <hyperlink ref="I44" r:id="rId43" xr:uid="{00000000-0004-0000-0000-00002A000000}"/>
    <hyperlink ref="I45" r:id="rId44" xr:uid="{00000000-0004-0000-0000-00002B000000}"/>
  </hyperlinks>
  <pageMargins left="0.7" right="0.7" top="0.75" bottom="0.75" header="0.3" footer="0.3"/>
  <tableParts count="1">
    <tablePart r:id="rId4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998"/>
  <sheetViews>
    <sheetView workbookViewId="0">
      <pane ySplit="1" topLeftCell="A3" activePane="bottomLeft" state="frozen"/>
      <selection pane="bottomLeft" activeCell="J4" sqref="J4"/>
    </sheetView>
  </sheetViews>
  <sheetFormatPr defaultColWidth="12.6640625" defaultRowHeight="15.75" customHeight="1"/>
  <cols>
    <col min="2" max="2" width="20.6640625" customWidth="1"/>
    <col min="11" max="11" width="16.44140625" customWidth="1"/>
    <col min="14" max="14" width="19.44140625" customWidth="1"/>
    <col min="15" max="15" width="46.109375" customWidth="1"/>
    <col min="21" max="21" width="15.77734375" customWidth="1"/>
  </cols>
  <sheetData>
    <row r="1" spans="1:15" ht="13.2">
      <c r="A1" s="15" t="s">
        <v>144</v>
      </c>
      <c r="B1" s="16" t="s">
        <v>1</v>
      </c>
      <c r="C1" s="17" t="s">
        <v>145</v>
      </c>
      <c r="D1" s="17" t="s">
        <v>146</v>
      </c>
      <c r="E1" s="17" t="s">
        <v>147</v>
      </c>
      <c r="F1" s="17" t="s">
        <v>148</v>
      </c>
      <c r="G1" s="17" t="s">
        <v>149</v>
      </c>
      <c r="H1" s="16" t="s">
        <v>150</v>
      </c>
      <c r="I1" s="17" t="s">
        <v>151</v>
      </c>
      <c r="J1" s="17" t="s">
        <v>152</v>
      </c>
      <c r="K1" s="17" t="s">
        <v>153</v>
      </c>
      <c r="L1" s="15" t="s">
        <v>154</v>
      </c>
      <c r="M1" s="15" t="s">
        <v>13</v>
      </c>
      <c r="N1" s="15" t="s">
        <v>155</v>
      </c>
      <c r="O1" s="18"/>
    </row>
    <row r="2" spans="1:15" ht="13.2">
      <c r="A2" s="19">
        <v>3336901</v>
      </c>
      <c r="B2" s="19" t="s">
        <v>142</v>
      </c>
      <c r="C2" s="19">
        <v>62</v>
      </c>
      <c r="D2" s="19">
        <v>50</v>
      </c>
      <c r="E2" s="19">
        <v>665</v>
      </c>
      <c r="F2" s="19">
        <v>16.63</v>
      </c>
      <c r="G2" s="19">
        <v>98.37</v>
      </c>
      <c r="H2" s="20" t="s">
        <v>193</v>
      </c>
      <c r="I2" s="19">
        <v>61</v>
      </c>
      <c r="J2" s="19">
        <v>9.4700000000000006</v>
      </c>
      <c r="K2" s="19">
        <v>17</v>
      </c>
      <c r="L2" s="21" t="str">
        <f>HYPERLINK("https://cricheroes.com/player-profile/3336901/abhik-ganguly/stats","View Profile")</f>
        <v>View Profile</v>
      </c>
      <c r="M2" s="19" t="s">
        <v>25</v>
      </c>
      <c r="N2" s="22">
        <f t="shared" ref="N2:N46" si="0">IF(M2="Icon",20000000,IF(M2="Premium",10000000,IF(M2="Rising",5000000,IF(M2="Impact",2000000,0))))</f>
        <v>5000000</v>
      </c>
    </row>
    <row r="3" spans="1:15" ht="13.2">
      <c r="A3" s="19">
        <v>12060387</v>
      </c>
      <c r="B3" s="19" t="s">
        <v>175</v>
      </c>
      <c r="C3" s="19">
        <v>143</v>
      </c>
      <c r="D3" s="19">
        <v>122</v>
      </c>
      <c r="E3" s="19">
        <v>1943</v>
      </c>
      <c r="F3" s="19">
        <v>23.13</v>
      </c>
      <c r="G3" s="19">
        <v>172.86</v>
      </c>
      <c r="H3" s="20" t="s">
        <v>176</v>
      </c>
      <c r="I3" s="19">
        <v>83</v>
      </c>
      <c r="J3" s="19">
        <v>9.81</v>
      </c>
      <c r="K3" s="19">
        <v>95</v>
      </c>
      <c r="L3" s="21" t="str">
        <f>HYPERLINK("https://cricheroes.com/player-profile/12060387/abhishek-sarkar/stats","View Profile")</f>
        <v>View Profile</v>
      </c>
      <c r="M3" s="19" t="s">
        <v>40</v>
      </c>
      <c r="N3" s="22">
        <f t="shared" si="0"/>
        <v>20000000</v>
      </c>
    </row>
    <row r="4" spans="1:15" ht="13.2">
      <c r="A4" s="19">
        <v>10984703</v>
      </c>
      <c r="B4" s="19" t="s">
        <v>26</v>
      </c>
      <c r="C4" s="19">
        <v>48</v>
      </c>
      <c r="D4" s="19">
        <v>40</v>
      </c>
      <c r="E4" s="19">
        <v>498</v>
      </c>
      <c r="F4" s="19">
        <v>16.059999999999999</v>
      </c>
      <c r="G4" s="19">
        <v>172.92</v>
      </c>
      <c r="H4" s="20" t="s">
        <v>182</v>
      </c>
      <c r="I4" s="19">
        <v>26</v>
      </c>
      <c r="J4" s="19">
        <v>11.25</v>
      </c>
      <c r="K4" s="19">
        <v>15</v>
      </c>
      <c r="L4" s="21" t="str">
        <f>HYPERLINK("https://cricheroes.com/player-profile/10984703/aman-jaiswal/stats","View Profile")</f>
        <v>View Profile</v>
      </c>
      <c r="M4" s="19" t="s">
        <v>29</v>
      </c>
      <c r="N4" s="22">
        <f t="shared" si="0"/>
        <v>0</v>
      </c>
    </row>
    <row r="5" spans="1:15" ht="13.2">
      <c r="A5" s="19">
        <v>34507530</v>
      </c>
      <c r="B5" s="19" t="s">
        <v>188</v>
      </c>
      <c r="C5" s="19">
        <v>164</v>
      </c>
      <c r="D5" s="19">
        <v>96</v>
      </c>
      <c r="E5" s="19">
        <v>757</v>
      </c>
      <c r="F5" s="19">
        <v>12.02</v>
      </c>
      <c r="G5" s="19">
        <v>152.93</v>
      </c>
      <c r="H5" s="20" t="s">
        <v>163</v>
      </c>
      <c r="I5" s="19">
        <v>57</v>
      </c>
      <c r="J5" s="19">
        <v>11.8</v>
      </c>
      <c r="K5" s="19">
        <v>36</v>
      </c>
      <c r="L5" s="21" t="str">
        <f>HYPERLINK("https://cricheroes.com/player-profile/34507530/ananya-roy/stats","View Profile")</f>
        <v>View Profile</v>
      </c>
      <c r="M5" s="19" t="s">
        <v>25</v>
      </c>
      <c r="N5" s="22">
        <f t="shared" si="0"/>
        <v>5000000</v>
      </c>
    </row>
    <row r="6" spans="1:15" ht="13.2">
      <c r="A6" s="19">
        <v>42627107</v>
      </c>
      <c r="B6" s="19" t="s">
        <v>110</v>
      </c>
      <c r="C6" s="19">
        <v>126</v>
      </c>
      <c r="D6" s="19">
        <v>55</v>
      </c>
      <c r="E6" s="19">
        <v>407</v>
      </c>
      <c r="F6" s="19">
        <v>10.71</v>
      </c>
      <c r="G6" s="19">
        <v>123.71</v>
      </c>
      <c r="H6" s="20">
        <v>49</v>
      </c>
      <c r="I6" s="19">
        <v>61</v>
      </c>
      <c r="J6" s="19">
        <v>10.72</v>
      </c>
      <c r="K6" s="19">
        <v>37</v>
      </c>
      <c r="L6" s="21" t="str">
        <f>HYPERLINK("https://cricheroes.com/player-profile/42627107/anirban-guha/stats","View Profile")</f>
        <v>View Profile</v>
      </c>
      <c r="M6" s="19" t="s">
        <v>25</v>
      </c>
      <c r="N6" s="22">
        <f t="shared" si="0"/>
        <v>5000000</v>
      </c>
    </row>
    <row r="7" spans="1:15" ht="13.2">
      <c r="A7" s="19">
        <v>33918878</v>
      </c>
      <c r="B7" s="19" t="s">
        <v>156</v>
      </c>
      <c r="C7" s="20">
        <v>16</v>
      </c>
      <c r="D7" s="20">
        <v>12</v>
      </c>
      <c r="E7" s="20">
        <v>162</v>
      </c>
      <c r="F7" s="20">
        <v>16.2</v>
      </c>
      <c r="G7" s="20">
        <v>186.21</v>
      </c>
      <c r="H7" s="20" t="s">
        <v>157</v>
      </c>
      <c r="I7" s="20">
        <v>4</v>
      </c>
      <c r="J7" s="20">
        <v>14.5</v>
      </c>
      <c r="K7" s="20">
        <v>13</v>
      </c>
      <c r="L7" s="21" t="str">
        <f>HYPERLINK("https://cricheroes.com/player-profile/33918878/anirban-paul/stats","View Profile")</f>
        <v>View Profile</v>
      </c>
      <c r="M7" s="19" t="s">
        <v>50</v>
      </c>
      <c r="N7" s="22">
        <f t="shared" si="0"/>
        <v>10000000</v>
      </c>
      <c r="O7" s="18"/>
    </row>
    <row r="8" spans="1:15" ht="13.2">
      <c r="A8" s="19">
        <v>11077697</v>
      </c>
      <c r="B8" s="19" t="s">
        <v>167</v>
      </c>
      <c r="C8" s="19">
        <v>46</v>
      </c>
      <c r="D8" s="19">
        <v>40</v>
      </c>
      <c r="E8" s="19">
        <v>507</v>
      </c>
      <c r="F8" s="19">
        <v>18.78</v>
      </c>
      <c r="G8" s="19">
        <v>169</v>
      </c>
      <c r="H8" s="20">
        <v>60</v>
      </c>
      <c r="I8" s="19">
        <v>20</v>
      </c>
      <c r="J8" s="19">
        <v>9.2899999999999991</v>
      </c>
      <c r="K8" s="19">
        <v>25</v>
      </c>
      <c r="L8" s="21" t="str">
        <f>HYPERLINK("https://cricheroes.com/player-profile/11077697/ankit-jaiswal/stats","View Profile")</f>
        <v>View Profile</v>
      </c>
      <c r="M8" s="19" t="s">
        <v>50</v>
      </c>
      <c r="N8" s="22">
        <f t="shared" si="0"/>
        <v>10000000</v>
      </c>
      <c r="O8" s="18"/>
    </row>
    <row r="9" spans="1:15" ht="13.2">
      <c r="A9" s="19">
        <v>43016896</v>
      </c>
      <c r="B9" s="19" t="s">
        <v>48</v>
      </c>
      <c r="C9" s="19">
        <v>63</v>
      </c>
      <c r="D9" s="19">
        <v>42</v>
      </c>
      <c r="E9" s="19">
        <v>488</v>
      </c>
      <c r="F9" s="19">
        <v>14.35</v>
      </c>
      <c r="G9" s="19">
        <v>162.66999999999999</v>
      </c>
      <c r="H9" s="20" t="s">
        <v>163</v>
      </c>
      <c r="I9" s="19">
        <v>35</v>
      </c>
      <c r="J9" s="19">
        <v>7.92</v>
      </c>
      <c r="K9" s="19">
        <v>35</v>
      </c>
      <c r="L9" s="21" t="str">
        <f>HYPERLINK("https://cricheroes.com/player-profile/43016896/arijit/stats","View Profile")</f>
        <v>View Profile</v>
      </c>
      <c r="M9" s="19" t="s">
        <v>50</v>
      </c>
      <c r="N9" s="22">
        <f t="shared" si="0"/>
        <v>10000000</v>
      </c>
      <c r="O9" s="18"/>
    </row>
    <row r="10" spans="1:15" ht="13.2">
      <c r="A10" s="19">
        <v>19685723</v>
      </c>
      <c r="B10" s="19" t="s">
        <v>158</v>
      </c>
      <c r="C10" s="19">
        <v>113</v>
      </c>
      <c r="D10" s="19">
        <v>75</v>
      </c>
      <c r="E10" s="19">
        <v>589</v>
      </c>
      <c r="F10" s="19">
        <v>10.91</v>
      </c>
      <c r="G10" s="19">
        <v>130.88999999999999</v>
      </c>
      <c r="H10" s="20">
        <v>37</v>
      </c>
      <c r="I10" s="19">
        <v>47</v>
      </c>
      <c r="J10" s="19">
        <v>12.07</v>
      </c>
      <c r="K10" s="19">
        <v>23</v>
      </c>
      <c r="L10" s="21" t="str">
        <f>HYPERLINK("https://cricheroes.com/player-profile/19685723/arijit-roy/stats","View Profile")</f>
        <v>View Profile</v>
      </c>
      <c r="M10" s="19" t="s">
        <v>25</v>
      </c>
      <c r="N10" s="22">
        <f t="shared" si="0"/>
        <v>5000000</v>
      </c>
      <c r="O10" s="23"/>
    </row>
    <row r="11" spans="1:15" ht="13.2">
      <c r="A11" s="19">
        <v>10111284</v>
      </c>
      <c r="B11" s="19" t="s">
        <v>135</v>
      </c>
      <c r="C11" s="19">
        <v>20</v>
      </c>
      <c r="D11" s="19">
        <v>17</v>
      </c>
      <c r="E11" s="19">
        <v>303</v>
      </c>
      <c r="F11" s="19">
        <v>43.29</v>
      </c>
      <c r="G11" s="19">
        <v>174.14</v>
      </c>
      <c r="H11" s="20" t="s">
        <v>163</v>
      </c>
      <c r="I11" s="19">
        <v>2</v>
      </c>
      <c r="J11" s="19">
        <v>17.829999999999998</v>
      </c>
      <c r="K11" s="19">
        <v>15</v>
      </c>
      <c r="L11" s="21" t="str">
        <f>HYPERLINK("https://cricheroes.com/player-profile/10111284/arnab-nandy/stats","View Profile")</f>
        <v>View Profile</v>
      </c>
      <c r="M11" s="19" t="s">
        <v>45</v>
      </c>
      <c r="N11" s="22">
        <f t="shared" si="0"/>
        <v>2000000</v>
      </c>
      <c r="O11" s="18"/>
    </row>
    <row r="12" spans="1:15" ht="13.2">
      <c r="A12" s="19">
        <v>44521368</v>
      </c>
      <c r="B12" s="19" t="s">
        <v>184</v>
      </c>
      <c r="H12" s="20"/>
      <c r="K12" s="19">
        <v>0</v>
      </c>
      <c r="L12" s="21" t="str">
        <f>HYPERLINK("https://cricheroes.com/player-profile/44521368/avi-sengupta/stats","View Profile")</f>
        <v>View Profile</v>
      </c>
      <c r="M12" s="19" t="s">
        <v>45</v>
      </c>
      <c r="N12" s="22">
        <f t="shared" si="0"/>
        <v>2000000</v>
      </c>
      <c r="O12" s="18"/>
    </row>
    <row r="13" spans="1:15" ht="13.2">
      <c r="A13" s="19">
        <v>40256787</v>
      </c>
      <c r="B13" s="19" t="s">
        <v>202</v>
      </c>
      <c r="C13" s="19">
        <v>9</v>
      </c>
      <c r="D13" s="19">
        <v>4</v>
      </c>
      <c r="E13" s="19">
        <v>38</v>
      </c>
      <c r="F13" s="19">
        <v>9.5</v>
      </c>
      <c r="G13" s="19">
        <v>165.22</v>
      </c>
      <c r="H13" s="20">
        <v>21</v>
      </c>
      <c r="I13" s="19">
        <v>2</v>
      </c>
      <c r="J13" s="19">
        <v>11.29</v>
      </c>
      <c r="K13" s="19">
        <v>2</v>
      </c>
      <c r="L13" s="21" t="str">
        <f>HYPERLINK("https://cricheroes.com/player-profile/40256787/avijit-pal-cricket-bhojerhat/stats","View Profile")</f>
        <v>View Profile</v>
      </c>
      <c r="M13" s="19" t="s">
        <v>45</v>
      </c>
      <c r="N13" s="22">
        <f t="shared" si="0"/>
        <v>2000000</v>
      </c>
      <c r="O13" s="18"/>
    </row>
    <row r="14" spans="1:15" ht="13.2">
      <c r="A14" s="19">
        <v>2320856</v>
      </c>
      <c r="B14" s="19" t="s">
        <v>121</v>
      </c>
      <c r="C14" s="19">
        <v>648</v>
      </c>
      <c r="D14" s="19">
        <v>433</v>
      </c>
      <c r="E14" s="19">
        <v>6590</v>
      </c>
      <c r="F14" s="19">
        <v>21.61</v>
      </c>
      <c r="G14" s="19">
        <v>193.77</v>
      </c>
      <c r="H14" s="20">
        <v>88</v>
      </c>
      <c r="I14" s="19">
        <v>575</v>
      </c>
      <c r="J14" s="19">
        <v>11.88</v>
      </c>
      <c r="K14" s="19">
        <v>394</v>
      </c>
      <c r="L14" s="21" t="str">
        <f>HYPERLINK("https://cricheroes.com/player-profile/2320856/balaram-shil/stats","View Profile")</f>
        <v>View Profile</v>
      </c>
      <c r="M14" s="19" t="s">
        <v>40</v>
      </c>
      <c r="N14" s="22">
        <f t="shared" si="0"/>
        <v>20000000</v>
      </c>
    </row>
    <row r="15" spans="1:15" ht="13.2">
      <c r="A15" s="19">
        <v>37888165</v>
      </c>
      <c r="B15" s="19" t="s">
        <v>53</v>
      </c>
      <c r="C15" s="19">
        <v>106</v>
      </c>
      <c r="D15" s="19">
        <v>77</v>
      </c>
      <c r="E15" s="19">
        <v>865</v>
      </c>
      <c r="F15" s="19">
        <v>17.3</v>
      </c>
      <c r="G15" s="19">
        <v>190.95</v>
      </c>
      <c r="H15" s="20" t="s">
        <v>166</v>
      </c>
      <c r="I15" s="19">
        <v>39</v>
      </c>
      <c r="J15" s="19">
        <v>11.7</v>
      </c>
      <c r="K15" s="19">
        <v>61</v>
      </c>
      <c r="L15" s="21" t="str">
        <f>HYPERLINK("https://cricheroes.com/player-profile/37888165/bijon-mondal/stats","View Profile")</f>
        <v>View Profile</v>
      </c>
      <c r="M15" s="19" t="s">
        <v>25</v>
      </c>
      <c r="N15" s="22">
        <f t="shared" si="0"/>
        <v>5000000</v>
      </c>
      <c r="O15" s="18"/>
    </row>
    <row r="16" spans="1:15" ht="13.2">
      <c r="A16" s="19">
        <v>12060554</v>
      </c>
      <c r="B16" s="19" t="s">
        <v>185</v>
      </c>
      <c r="C16" s="19">
        <v>136</v>
      </c>
      <c r="D16" s="19">
        <v>106</v>
      </c>
      <c r="E16" s="19">
        <v>971</v>
      </c>
      <c r="F16" s="19">
        <v>12.14</v>
      </c>
      <c r="G16" s="19">
        <v>161.30000000000001</v>
      </c>
      <c r="H16" s="20">
        <v>65</v>
      </c>
      <c r="I16" s="19">
        <v>48</v>
      </c>
      <c r="J16" s="19">
        <v>10.46</v>
      </c>
      <c r="K16" s="19">
        <v>75</v>
      </c>
      <c r="L16" s="21" t="str">
        <f>HYPERLINK("https://cricheroes.com/player-profile/12060554/bony/stats","View Profile")</f>
        <v>View Profile</v>
      </c>
      <c r="M16" s="19" t="s">
        <v>50</v>
      </c>
      <c r="N16" s="22">
        <f t="shared" si="0"/>
        <v>10000000</v>
      </c>
      <c r="O16" s="18"/>
    </row>
    <row r="17" spans="1:15" ht="13.2">
      <c r="A17" s="19">
        <v>3371745</v>
      </c>
      <c r="B17" s="19" t="s">
        <v>62</v>
      </c>
      <c r="C17" s="19">
        <v>107</v>
      </c>
      <c r="D17" s="19">
        <v>89</v>
      </c>
      <c r="E17" s="19">
        <v>1711</v>
      </c>
      <c r="F17" s="19">
        <v>21.12</v>
      </c>
      <c r="G17" s="19">
        <v>131.21</v>
      </c>
      <c r="H17" s="20">
        <v>105</v>
      </c>
      <c r="I17" s="19">
        <v>117</v>
      </c>
      <c r="J17" s="19">
        <v>8.8800000000000008</v>
      </c>
      <c r="K17" s="19">
        <v>38</v>
      </c>
      <c r="L17" s="21" t="str">
        <f>HYPERLINK("https://cricheroes.com/player-profile/3371745/debashish-roy/stats","View Profile")</f>
        <v>View Profile</v>
      </c>
      <c r="M17" s="19" t="s">
        <v>40</v>
      </c>
      <c r="N17" s="22">
        <f t="shared" si="0"/>
        <v>20000000</v>
      </c>
      <c r="O17" s="18"/>
    </row>
    <row r="18" spans="1:15" ht="13.2">
      <c r="A18" s="19">
        <v>38392651</v>
      </c>
      <c r="B18" s="19" t="s">
        <v>68</v>
      </c>
      <c r="C18" s="19">
        <v>80</v>
      </c>
      <c r="D18" s="19">
        <v>55</v>
      </c>
      <c r="E18" s="19">
        <v>623</v>
      </c>
      <c r="F18" s="19">
        <v>18.88</v>
      </c>
      <c r="G18" s="19">
        <v>171.15</v>
      </c>
      <c r="H18" s="20" t="s">
        <v>168</v>
      </c>
      <c r="I18" s="19">
        <v>28</v>
      </c>
      <c r="J18" s="19">
        <v>10.25</v>
      </c>
      <c r="K18" s="19">
        <v>31</v>
      </c>
      <c r="L18" s="21" t="str">
        <f>HYPERLINK("https://cricheroes.com/player-profile/38392651/dhritiman-dey/stats","View Profile")</f>
        <v>View Profile</v>
      </c>
      <c r="M18" s="19" t="s">
        <v>25</v>
      </c>
      <c r="N18" s="22">
        <f t="shared" si="0"/>
        <v>5000000</v>
      </c>
      <c r="O18" s="23"/>
    </row>
    <row r="19" spans="1:15" ht="13.2">
      <c r="A19" s="19">
        <v>23646088</v>
      </c>
      <c r="B19" s="19" t="s">
        <v>177</v>
      </c>
      <c r="C19" s="19">
        <v>94</v>
      </c>
      <c r="D19" s="19">
        <v>83</v>
      </c>
      <c r="E19" s="19">
        <v>1295</v>
      </c>
      <c r="F19" s="19">
        <v>18.77</v>
      </c>
      <c r="G19" s="19">
        <v>189.6</v>
      </c>
      <c r="H19" s="20" t="s">
        <v>178</v>
      </c>
      <c r="I19" s="19">
        <v>30</v>
      </c>
      <c r="J19" s="19">
        <v>12.57</v>
      </c>
      <c r="K19" s="19">
        <v>44</v>
      </c>
      <c r="L19" s="21" t="str">
        <f>HYPERLINK("https://cricheroes.com/player-profile/23646088/dragleeoo/stats","View Profile")</f>
        <v>View Profile</v>
      </c>
      <c r="M19" s="19" t="s">
        <v>29</v>
      </c>
      <c r="N19" s="22">
        <f t="shared" si="0"/>
        <v>0</v>
      </c>
      <c r="O19" s="23"/>
    </row>
    <row r="20" spans="1:15" ht="13.2">
      <c r="A20" s="19">
        <v>29077191</v>
      </c>
      <c r="B20" s="19" t="s">
        <v>162</v>
      </c>
      <c r="C20" s="19">
        <v>225</v>
      </c>
      <c r="D20" s="19">
        <v>181</v>
      </c>
      <c r="E20" s="19">
        <v>1475</v>
      </c>
      <c r="F20" s="19">
        <v>10.1</v>
      </c>
      <c r="G20" s="19">
        <v>93.18</v>
      </c>
      <c r="H20" s="20">
        <v>60</v>
      </c>
      <c r="I20" s="19">
        <v>144</v>
      </c>
      <c r="J20" s="19">
        <v>5.62</v>
      </c>
      <c r="K20" s="19">
        <v>90</v>
      </c>
      <c r="L20" s="21" t="str">
        <f>HYPERLINK("https://cricheroes.com/player-profile/29077191/fardeen-ali/stats","View Profile")</f>
        <v>View Profile</v>
      </c>
      <c r="M20" s="19" t="s">
        <v>25</v>
      </c>
      <c r="N20" s="22">
        <f t="shared" si="0"/>
        <v>5000000</v>
      </c>
      <c r="O20" s="23"/>
    </row>
    <row r="21" spans="1:15" ht="13.2">
      <c r="A21" s="19">
        <v>21857884</v>
      </c>
      <c r="B21" s="19" t="s">
        <v>200</v>
      </c>
      <c r="C21" s="19">
        <v>79</v>
      </c>
      <c r="D21" s="19">
        <v>60</v>
      </c>
      <c r="E21" s="19">
        <v>858</v>
      </c>
      <c r="F21" s="19">
        <v>17.16</v>
      </c>
      <c r="G21" s="19">
        <v>186.93</v>
      </c>
      <c r="H21" s="20">
        <v>102</v>
      </c>
      <c r="I21" s="19">
        <v>10</v>
      </c>
      <c r="J21" s="19">
        <v>14.33</v>
      </c>
      <c r="K21" s="19">
        <v>38</v>
      </c>
      <c r="L21" s="21" t="str">
        <f>HYPERLINK("https://cricheroes.com/player-profile/21857884/harshit/stats","View Profile")</f>
        <v>View Profile</v>
      </c>
      <c r="M21" s="19" t="s">
        <v>50</v>
      </c>
      <c r="N21" s="22">
        <f t="shared" si="0"/>
        <v>10000000</v>
      </c>
      <c r="O21" s="23"/>
    </row>
    <row r="22" spans="1:15" ht="13.2">
      <c r="A22" s="19">
        <v>11374748</v>
      </c>
      <c r="B22" s="19" t="s">
        <v>159</v>
      </c>
      <c r="C22" s="19">
        <v>46</v>
      </c>
      <c r="D22" s="19">
        <v>36</v>
      </c>
      <c r="E22" s="19">
        <v>725</v>
      </c>
      <c r="F22" s="19">
        <v>30.21</v>
      </c>
      <c r="G22" s="19">
        <v>183.54</v>
      </c>
      <c r="H22" s="20">
        <v>52</v>
      </c>
      <c r="I22" s="19">
        <v>21</v>
      </c>
      <c r="J22" s="19">
        <v>8.98</v>
      </c>
      <c r="K22" s="19">
        <v>36</v>
      </c>
      <c r="L22" s="21" t="str">
        <f>HYPERLINK("https://cricheroes.com/player-profile/11374748/harshit-jaiswal/stats","View Profile")</f>
        <v>View Profile</v>
      </c>
      <c r="M22" s="19" t="s">
        <v>40</v>
      </c>
      <c r="N22" s="22">
        <f t="shared" si="0"/>
        <v>20000000</v>
      </c>
      <c r="O22" s="18"/>
    </row>
    <row r="23" spans="1:15" ht="13.2">
      <c r="A23" s="19">
        <v>49414345</v>
      </c>
      <c r="B23" s="19" t="s">
        <v>97</v>
      </c>
      <c r="C23" s="19">
        <v>9</v>
      </c>
      <c r="D23" s="19">
        <v>6</v>
      </c>
      <c r="E23" s="19">
        <v>85</v>
      </c>
      <c r="F23" s="19">
        <v>17</v>
      </c>
      <c r="G23" s="19">
        <v>151.79</v>
      </c>
      <c r="H23" s="20">
        <v>39</v>
      </c>
      <c r="I23" s="19">
        <v>3</v>
      </c>
      <c r="J23" s="19">
        <v>11.33</v>
      </c>
      <c r="K23" s="19">
        <v>2</v>
      </c>
      <c r="L23" s="21" t="str">
        <f>HYPERLINK("https://cricheroes.com/player-profile/49414345/indronil-das/stats","View Profile")</f>
        <v>View Profile</v>
      </c>
      <c r="M23" s="19" t="s">
        <v>45</v>
      </c>
      <c r="N23" s="22">
        <f t="shared" si="0"/>
        <v>2000000</v>
      </c>
      <c r="O23" s="18"/>
    </row>
    <row r="24" spans="1:15" ht="13.2">
      <c r="A24" s="19">
        <v>48762345</v>
      </c>
      <c r="B24" s="19" t="s">
        <v>80</v>
      </c>
      <c r="C24" s="19">
        <v>9</v>
      </c>
      <c r="D24" s="19">
        <v>8</v>
      </c>
      <c r="E24" s="19">
        <v>144</v>
      </c>
      <c r="F24" s="19">
        <v>18</v>
      </c>
      <c r="G24" s="19">
        <v>211.76</v>
      </c>
      <c r="H24" s="20">
        <v>35</v>
      </c>
      <c r="I24" s="19">
        <v>5</v>
      </c>
      <c r="J24" s="19">
        <v>11.6</v>
      </c>
      <c r="K24" s="19">
        <v>8</v>
      </c>
      <c r="L24" s="21" t="str">
        <f>HYPERLINK("https://cricheroes.com/player-profile/48762345/jewel-johnson/stats","View Profile")</f>
        <v>View Profile</v>
      </c>
      <c r="M24" s="19" t="s">
        <v>50</v>
      </c>
      <c r="N24" s="22">
        <f t="shared" si="0"/>
        <v>10000000</v>
      </c>
      <c r="O24" s="18"/>
    </row>
    <row r="25" spans="1:15" ht="13.2">
      <c r="A25" s="19">
        <v>4258050</v>
      </c>
      <c r="B25" s="19" t="s">
        <v>94</v>
      </c>
      <c r="C25" s="19">
        <v>207</v>
      </c>
      <c r="D25" s="19">
        <v>175</v>
      </c>
      <c r="E25" s="19">
        <v>1775</v>
      </c>
      <c r="F25" s="19">
        <v>12.77</v>
      </c>
      <c r="G25" s="19">
        <v>149.66</v>
      </c>
      <c r="H25" s="20" t="s">
        <v>181</v>
      </c>
      <c r="I25" s="19">
        <v>111</v>
      </c>
      <c r="J25" s="19">
        <v>10.42</v>
      </c>
      <c r="K25" s="19">
        <v>63</v>
      </c>
      <c r="L25" s="21" t="str">
        <f>HYPERLINK("https://cricheroes.com/player-profile/4258050/jit/stats","View Profile")</f>
        <v>View Profile</v>
      </c>
      <c r="M25" s="19" t="s">
        <v>50</v>
      </c>
      <c r="N25" s="22">
        <f t="shared" si="0"/>
        <v>10000000</v>
      </c>
      <c r="O25" s="23"/>
    </row>
    <row r="26" spans="1:15" ht="13.2">
      <c r="A26" s="19">
        <v>12060748</v>
      </c>
      <c r="B26" s="19" t="s">
        <v>128</v>
      </c>
      <c r="C26" s="19">
        <v>113</v>
      </c>
      <c r="D26" s="19">
        <v>63</v>
      </c>
      <c r="E26" s="19">
        <v>389</v>
      </c>
      <c r="F26" s="19">
        <v>9.0500000000000007</v>
      </c>
      <c r="G26" s="19">
        <v>136.01</v>
      </c>
      <c r="H26" s="20">
        <v>30</v>
      </c>
      <c r="I26" s="19">
        <v>45</v>
      </c>
      <c r="J26" s="19">
        <v>10.91</v>
      </c>
      <c r="K26" s="19">
        <v>33</v>
      </c>
      <c r="L26" s="21" t="str">
        <f>HYPERLINK("https://cricheroes.com/player-profile/12060748/joy-mitra/stats","View Profile")</f>
        <v>View Profile</v>
      </c>
      <c r="M26" s="19" t="s">
        <v>25</v>
      </c>
      <c r="N26" s="22">
        <f t="shared" si="0"/>
        <v>5000000</v>
      </c>
    </row>
    <row r="27" spans="1:15" ht="13.2">
      <c r="A27" s="19">
        <v>31751306</v>
      </c>
      <c r="B27" s="19" t="s">
        <v>201</v>
      </c>
      <c r="C27" s="19">
        <v>22</v>
      </c>
      <c r="D27" s="19">
        <v>13</v>
      </c>
      <c r="E27" s="19">
        <v>60</v>
      </c>
      <c r="F27" s="19">
        <v>7.5</v>
      </c>
      <c r="G27" s="19">
        <v>93.75</v>
      </c>
      <c r="H27" s="20" t="s">
        <v>192</v>
      </c>
      <c r="K27" s="19">
        <v>11</v>
      </c>
      <c r="L27" s="21" t="str">
        <f>HYPERLINK("https://cricheroes.com/player-profile/31751306/koushik/stats","View Profile")</f>
        <v>View Profile</v>
      </c>
      <c r="M27" s="19" t="s">
        <v>50</v>
      </c>
      <c r="N27" s="22">
        <f t="shared" si="0"/>
        <v>10000000</v>
      </c>
      <c r="O27" s="23"/>
    </row>
    <row r="28" spans="1:15" ht="13.2">
      <c r="A28" s="19">
        <v>30299329</v>
      </c>
      <c r="B28" s="19" t="s">
        <v>172</v>
      </c>
      <c r="C28" s="19">
        <v>71</v>
      </c>
      <c r="D28" s="19">
        <v>27</v>
      </c>
      <c r="E28" s="19">
        <v>76</v>
      </c>
      <c r="F28" s="19">
        <v>3.8</v>
      </c>
      <c r="G28" s="19">
        <v>86.36</v>
      </c>
      <c r="H28" s="20">
        <v>20</v>
      </c>
      <c r="I28" s="19">
        <v>11</v>
      </c>
      <c r="J28" s="19">
        <v>14.97</v>
      </c>
      <c r="K28" s="19">
        <v>8</v>
      </c>
      <c r="L28" s="21" t="str">
        <f>HYPERLINK("https://cricheroes.com/player-profile/30299329/kuntal-das/stats","View Profile")</f>
        <v>View Profile</v>
      </c>
      <c r="M28" s="19" t="s">
        <v>45</v>
      </c>
      <c r="N28" s="22">
        <f t="shared" si="0"/>
        <v>2000000</v>
      </c>
    </row>
    <row r="29" spans="1:15" ht="13.2">
      <c r="A29" s="19">
        <v>42598564</v>
      </c>
      <c r="B29" s="19" t="s">
        <v>108</v>
      </c>
      <c r="C29" s="19">
        <v>129</v>
      </c>
      <c r="D29" s="19">
        <v>106</v>
      </c>
      <c r="E29" s="19">
        <v>1570</v>
      </c>
      <c r="F29" s="19">
        <v>19.38</v>
      </c>
      <c r="G29" s="19">
        <v>191.46</v>
      </c>
      <c r="H29" s="20" t="s">
        <v>186</v>
      </c>
      <c r="I29" s="19">
        <v>50</v>
      </c>
      <c r="J29" s="19">
        <v>11.86</v>
      </c>
      <c r="K29" s="19">
        <v>59</v>
      </c>
      <c r="L29" s="21" t="str">
        <f>HYPERLINK("https://cricheroes.com/player-profile/42598564/prince/stats","View Profile")</f>
        <v>View Profile</v>
      </c>
      <c r="M29" s="19" t="s">
        <v>50</v>
      </c>
      <c r="N29" s="22">
        <f t="shared" si="0"/>
        <v>10000000</v>
      </c>
    </row>
    <row r="30" spans="1:15" ht="13.2">
      <c r="A30" s="19">
        <v>28643694</v>
      </c>
      <c r="B30" s="19" t="s">
        <v>160</v>
      </c>
      <c r="C30" s="19">
        <v>89</v>
      </c>
      <c r="D30" s="19">
        <v>76</v>
      </c>
      <c r="E30" s="19">
        <v>750</v>
      </c>
      <c r="F30" s="19">
        <v>12.1</v>
      </c>
      <c r="G30" s="19">
        <v>134.88999999999999</v>
      </c>
      <c r="H30" s="20">
        <v>60</v>
      </c>
      <c r="I30" s="19">
        <v>45</v>
      </c>
      <c r="J30" s="19">
        <v>8.76</v>
      </c>
      <c r="K30" s="19">
        <v>36</v>
      </c>
      <c r="L30" s="21" t="str">
        <f>HYPERLINK("https://cricheroes.com/player-profile/28643694/pritam-basu/stats","View Profile")</f>
        <v>View Profile</v>
      </c>
      <c r="M30" s="19" t="s">
        <v>25</v>
      </c>
      <c r="N30" s="22">
        <f t="shared" si="0"/>
        <v>5000000</v>
      </c>
    </row>
    <row r="31" spans="1:15" ht="13.2">
      <c r="A31" s="19">
        <v>45002297</v>
      </c>
      <c r="B31" s="19" t="s">
        <v>71</v>
      </c>
      <c r="C31" s="19">
        <v>14</v>
      </c>
      <c r="D31" s="19">
        <v>11</v>
      </c>
      <c r="E31" s="19">
        <v>110</v>
      </c>
      <c r="F31" s="19">
        <v>18.329999999999998</v>
      </c>
      <c r="G31" s="19">
        <v>142.86000000000001</v>
      </c>
      <c r="H31" s="20" t="s">
        <v>169</v>
      </c>
      <c r="I31" s="19">
        <v>13</v>
      </c>
      <c r="J31" s="19">
        <v>8.73</v>
      </c>
      <c r="K31" s="19">
        <v>6</v>
      </c>
      <c r="L31" s="21" t="str">
        <f>HYPERLINK("https://cricheroes.com/player-profile/45002297/rahul/stats","View Profile")</f>
        <v>View Profile</v>
      </c>
      <c r="M31" s="19" t="s">
        <v>25</v>
      </c>
      <c r="N31" s="22">
        <f t="shared" si="0"/>
        <v>5000000</v>
      </c>
    </row>
    <row r="32" spans="1:15" ht="13.2">
      <c r="A32" s="19">
        <v>36055152</v>
      </c>
      <c r="B32" s="19" t="s">
        <v>170</v>
      </c>
      <c r="C32" s="19">
        <v>74</v>
      </c>
      <c r="D32" s="19">
        <v>51</v>
      </c>
      <c r="E32" s="19">
        <v>411</v>
      </c>
      <c r="F32" s="19">
        <v>11.11</v>
      </c>
      <c r="G32" s="19">
        <v>132.58000000000001</v>
      </c>
      <c r="H32" s="20" t="s">
        <v>171</v>
      </c>
      <c r="I32" s="19">
        <v>25</v>
      </c>
      <c r="J32" s="19">
        <v>12.89</v>
      </c>
      <c r="K32" s="19">
        <v>36</v>
      </c>
      <c r="L32" s="21" t="str">
        <f>HYPERLINK("https://cricheroes.com/player-profile/36055152/rohit-ghosh/stats","View Profile")</f>
        <v>View Profile</v>
      </c>
      <c r="M32" s="19" t="s">
        <v>45</v>
      </c>
      <c r="N32" s="22">
        <f t="shared" si="0"/>
        <v>2000000</v>
      </c>
    </row>
    <row r="33" spans="1:14" ht="13.2">
      <c r="A33" s="19">
        <v>44011252</v>
      </c>
      <c r="B33" s="19" t="s">
        <v>116</v>
      </c>
      <c r="C33" s="19">
        <v>55</v>
      </c>
      <c r="D33" s="19">
        <v>37</v>
      </c>
      <c r="E33" s="19">
        <v>732</v>
      </c>
      <c r="F33" s="19">
        <v>27.11</v>
      </c>
      <c r="G33" s="19">
        <v>196.77</v>
      </c>
      <c r="H33" s="20" t="s">
        <v>187</v>
      </c>
      <c r="I33" s="19">
        <v>12</v>
      </c>
      <c r="J33" s="19">
        <v>11.04</v>
      </c>
      <c r="K33" s="19">
        <v>17</v>
      </c>
      <c r="L33" s="21" t="str">
        <f>HYPERLINK("https://cricheroes.com/player-profile/44011252/salman/stats","View Profile")</f>
        <v>View Profile</v>
      </c>
      <c r="M33" s="19" t="s">
        <v>40</v>
      </c>
      <c r="N33" s="22">
        <f t="shared" si="0"/>
        <v>20000000</v>
      </c>
    </row>
    <row r="34" spans="1:14" ht="13.2">
      <c r="A34" s="19">
        <v>8026613</v>
      </c>
      <c r="B34" s="19" t="s">
        <v>103</v>
      </c>
      <c r="C34" s="19">
        <v>17</v>
      </c>
      <c r="D34" s="19">
        <v>10</v>
      </c>
      <c r="E34" s="19">
        <v>86</v>
      </c>
      <c r="F34" s="19">
        <v>14.33</v>
      </c>
      <c r="G34" s="19">
        <v>132.31</v>
      </c>
      <c r="H34" s="20">
        <v>33</v>
      </c>
      <c r="I34" s="19">
        <v>0</v>
      </c>
      <c r="J34" s="19">
        <v>18.75</v>
      </c>
      <c r="K34" s="19">
        <v>3</v>
      </c>
      <c r="L34" s="21" t="str">
        <f>HYPERLINK("https://cricheroes.com/player-profile/8026613/samir/stats","View Profile")</f>
        <v>View Profile</v>
      </c>
      <c r="M34" s="19" t="s">
        <v>45</v>
      </c>
      <c r="N34" s="22">
        <f t="shared" si="0"/>
        <v>2000000</v>
      </c>
    </row>
    <row r="35" spans="1:14" ht="13.2">
      <c r="A35" s="19">
        <v>46477829</v>
      </c>
      <c r="B35" s="19" t="s">
        <v>46</v>
      </c>
      <c r="C35" s="19">
        <v>27</v>
      </c>
      <c r="D35" s="19">
        <v>14</v>
      </c>
      <c r="E35" s="19">
        <v>120</v>
      </c>
      <c r="F35" s="19">
        <v>12</v>
      </c>
      <c r="G35" s="19">
        <v>146.34</v>
      </c>
      <c r="H35" s="20">
        <v>45</v>
      </c>
      <c r="I35" s="19">
        <v>13</v>
      </c>
      <c r="J35" s="19">
        <v>10.77</v>
      </c>
      <c r="K35" s="19">
        <v>11</v>
      </c>
      <c r="L35" s="21" t="str">
        <f>HYPERLINK("https://cricheroes.com/player-profile/46477829/sankar-ghosh/stats","View Profile")</f>
        <v>View Profile</v>
      </c>
      <c r="M35" s="19" t="s">
        <v>45</v>
      </c>
      <c r="N35" s="22">
        <f t="shared" si="0"/>
        <v>2000000</v>
      </c>
    </row>
    <row r="36" spans="1:14" ht="13.2">
      <c r="A36" s="19">
        <v>7183132</v>
      </c>
      <c r="B36" s="19" t="s">
        <v>139</v>
      </c>
      <c r="C36" s="19">
        <v>261</v>
      </c>
      <c r="D36" s="19">
        <v>224</v>
      </c>
      <c r="E36" s="19">
        <v>4768</v>
      </c>
      <c r="F36" s="19">
        <v>25.36</v>
      </c>
      <c r="G36" s="19">
        <v>185.17</v>
      </c>
      <c r="H36" s="20" t="s">
        <v>190</v>
      </c>
      <c r="I36" s="19">
        <v>121</v>
      </c>
      <c r="J36" s="19">
        <v>8.98</v>
      </c>
      <c r="K36" s="19">
        <v>140</v>
      </c>
      <c r="L36" s="21" t="str">
        <f>HYPERLINK("https://cricheroes.com/player-profile/7183132/sarajit/stats","View Profile")</f>
        <v>View Profile</v>
      </c>
      <c r="M36" s="19" t="s">
        <v>50</v>
      </c>
      <c r="N36" s="22">
        <f t="shared" si="0"/>
        <v>10000000</v>
      </c>
    </row>
    <row r="37" spans="1:14" ht="13.2">
      <c r="A37" s="19">
        <v>10967531</v>
      </c>
      <c r="B37" s="19" t="s">
        <v>33</v>
      </c>
      <c r="C37" s="19">
        <v>79</v>
      </c>
      <c r="D37" s="19">
        <v>59</v>
      </c>
      <c r="E37" s="19">
        <v>1028</v>
      </c>
      <c r="F37" s="19">
        <v>23.91</v>
      </c>
      <c r="G37" s="19">
        <v>179.72</v>
      </c>
      <c r="H37" s="20" t="s">
        <v>183</v>
      </c>
      <c r="I37" s="19">
        <v>28</v>
      </c>
      <c r="J37" s="19">
        <v>11.31</v>
      </c>
      <c r="K37" s="19">
        <v>37</v>
      </c>
      <c r="L37" s="21" t="str">
        <f>HYPERLINK("https://cricheroes.com/player-profile/10967531/sawon-bhattacharya/stats","View Profile")</f>
        <v>View Profile</v>
      </c>
      <c r="M37" s="19" t="s">
        <v>29</v>
      </c>
      <c r="N37" s="22">
        <f t="shared" si="0"/>
        <v>0</v>
      </c>
    </row>
    <row r="38" spans="1:14" ht="13.2">
      <c r="A38" s="19">
        <v>47133527</v>
      </c>
      <c r="B38" s="19" t="s">
        <v>113</v>
      </c>
      <c r="C38" s="19">
        <v>75</v>
      </c>
      <c r="D38" s="19">
        <v>50</v>
      </c>
      <c r="E38" s="19">
        <v>666</v>
      </c>
      <c r="F38" s="19">
        <v>16.649999999999999</v>
      </c>
      <c r="G38" s="19">
        <v>164.44</v>
      </c>
      <c r="H38" s="20">
        <v>54</v>
      </c>
      <c r="I38" s="19">
        <v>36</v>
      </c>
      <c r="J38" s="19">
        <v>10.14</v>
      </c>
      <c r="K38" s="19">
        <v>34</v>
      </c>
      <c r="L38" s="21" t="str">
        <f>HYPERLINK("https://cricheroes.com/player-profile/47133527/sen/stats","View Profile")</f>
        <v>View Profile</v>
      </c>
      <c r="M38" s="19" t="s">
        <v>25</v>
      </c>
      <c r="N38" s="22">
        <f t="shared" si="0"/>
        <v>5000000</v>
      </c>
    </row>
    <row r="39" spans="1:14" ht="13.2">
      <c r="A39" s="19">
        <v>11616298</v>
      </c>
      <c r="B39" s="19" t="s">
        <v>164</v>
      </c>
      <c r="C39" s="19">
        <v>21</v>
      </c>
      <c r="D39" s="19">
        <v>7</v>
      </c>
      <c r="E39" s="19">
        <v>36</v>
      </c>
      <c r="F39" s="19">
        <v>18</v>
      </c>
      <c r="G39" s="19">
        <v>120</v>
      </c>
      <c r="H39" s="20" t="s">
        <v>165</v>
      </c>
      <c r="I39" s="19">
        <v>8</v>
      </c>
      <c r="J39" s="19">
        <v>9.34</v>
      </c>
      <c r="K39" s="19">
        <v>6</v>
      </c>
      <c r="L39" s="21" t="str">
        <f>HYPERLINK("https://cricheroes.com/player-profile/11616298/shantanu-chakraborty/stats","View Profile")</f>
        <v>View Profile</v>
      </c>
      <c r="M39" s="19" t="s">
        <v>45</v>
      </c>
      <c r="N39" s="22">
        <f t="shared" si="0"/>
        <v>2000000</v>
      </c>
    </row>
    <row r="40" spans="1:14" ht="13.2">
      <c r="A40" s="19">
        <v>33758093</v>
      </c>
      <c r="B40" s="19" t="s">
        <v>58</v>
      </c>
      <c r="C40" s="19">
        <v>15</v>
      </c>
      <c r="D40" s="19">
        <v>11</v>
      </c>
      <c r="E40" s="19">
        <v>184</v>
      </c>
      <c r="F40" s="19">
        <v>26.29</v>
      </c>
      <c r="G40" s="19">
        <v>213.95</v>
      </c>
      <c r="H40" s="20">
        <v>41</v>
      </c>
      <c r="I40" s="19">
        <v>5</v>
      </c>
      <c r="J40" s="19">
        <v>15.12</v>
      </c>
      <c r="K40" s="19">
        <v>11</v>
      </c>
      <c r="L40" s="21" t="str">
        <f>HYPERLINK("https://cricheroes.com/player-profile/33758093/shubham-kumar/stats","View Profile")</f>
        <v>View Profile</v>
      </c>
      <c r="M40" s="19" t="s">
        <v>50</v>
      </c>
      <c r="N40" s="22">
        <f t="shared" si="0"/>
        <v>10000000</v>
      </c>
    </row>
    <row r="41" spans="1:14" ht="13.2">
      <c r="A41" s="19">
        <v>14374771</v>
      </c>
      <c r="B41" s="19" t="s">
        <v>41</v>
      </c>
      <c r="C41" s="19">
        <v>154</v>
      </c>
      <c r="D41" s="19">
        <v>55</v>
      </c>
      <c r="E41" s="19">
        <v>176</v>
      </c>
      <c r="F41" s="19">
        <v>4.8899999999999997</v>
      </c>
      <c r="G41" s="19">
        <v>86.7</v>
      </c>
      <c r="H41" s="20" t="s">
        <v>161</v>
      </c>
      <c r="I41" s="19">
        <v>23</v>
      </c>
      <c r="J41" s="19">
        <v>9.9700000000000006</v>
      </c>
      <c r="K41" s="19">
        <v>33</v>
      </c>
      <c r="L41" s="21" t="str">
        <f>HYPERLINK("https://cricheroes.com/player-profile/14374771/spandan-ganguly/stats","View Profile")</f>
        <v>View Profile</v>
      </c>
      <c r="M41" s="19" t="s">
        <v>45</v>
      </c>
      <c r="N41" s="22">
        <f t="shared" si="0"/>
        <v>2000000</v>
      </c>
    </row>
    <row r="42" spans="1:14" ht="13.2">
      <c r="A42" s="19">
        <v>4779842</v>
      </c>
      <c r="B42" s="19" t="s">
        <v>179</v>
      </c>
      <c r="C42" s="19">
        <v>154</v>
      </c>
      <c r="D42" s="19">
        <v>131</v>
      </c>
      <c r="E42" s="19">
        <v>2294</v>
      </c>
      <c r="F42" s="19">
        <v>22.71</v>
      </c>
      <c r="G42" s="19">
        <v>183.08</v>
      </c>
      <c r="H42" s="20" t="s">
        <v>180</v>
      </c>
      <c r="I42" s="19">
        <v>59</v>
      </c>
      <c r="J42" s="19">
        <v>10.5</v>
      </c>
      <c r="K42" s="19">
        <v>46</v>
      </c>
      <c r="L42" s="21" t="str">
        <f>HYPERLINK("https://cricheroes.com/player-profile/4779842/subhasish-das/stats","View Profile")</f>
        <v>View Profile</v>
      </c>
      <c r="M42" s="19" t="s">
        <v>40</v>
      </c>
      <c r="N42" s="22">
        <f t="shared" si="0"/>
        <v>20000000</v>
      </c>
    </row>
    <row r="43" spans="1:14" ht="13.2">
      <c r="A43" s="19">
        <v>24512366</v>
      </c>
      <c r="B43" s="19" t="s">
        <v>65</v>
      </c>
      <c r="C43" s="19">
        <v>47</v>
      </c>
      <c r="D43" s="19">
        <v>38</v>
      </c>
      <c r="E43" s="19">
        <v>439</v>
      </c>
      <c r="F43" s="19">
        <v>15.14</v>
      </c>
      <c r="G43" s="19">
        <v>181.4</v>
      </c>
      <c r="H43" s="20">
        <v>51</v>
      </c>
      <c r="I43" s="19">
        <v>25</v>
      </c>
      <c r="J43" s="19">
        <v>12.77</v>
      </c>
      <c r="K43" s="19">
        <v>16</v>
      </c>
      <c r="L43" s="21" t="str">
        <f>HYPERLINK("https://cricheroes.com/player-profile/24512366/swapneel-chakraborty/stats","View Profile")</f>
        <v>View Profile</v>
      </c>
      <c r="M43" s="19" t="s">
        <v>29</v>
      </c>
      <c r="N43" s="22">
        <f t="shared" si="0"/>
        <v>0</v>
      </c>
    </row>
    <row r="44" spans="1:14" ht="13.2">
      <c r="A44" s="19">
        <v>22819671</v>
      </c>
      <c r="B44" s="19" t="s">
        <v>189</v>
      </c>
      <c r="C44" s="19">
        <v>51</v>
      </c>
      <c r="D44" s="19">
        <v>37</v>
      </c>
      <c r="E44" s="19">
        <v>264</v>
      </c>
      <c r="F44" s="19">
        <v>9.7799999999999994</v>
      </c>
      <c r="G44" s="19">
        <v>96.7</v>
      </c>
      <c r="H44" s="20">
        <v>35</v>
      </c>
      <c r="I44" s="19">
        <v>58</v>
      </c>
      <c r="J44" s="19">
        <v>6.9</v>
      </c>
      <c r="K44" s="19">
        <v>14</v>
      </c>
      <c r="L44" s="21" t="str">
        <f>HYPERLINK("https://cricheroes.com/player-profile/22819671/tiyas-chatterjee/stats","View Profile")</f>
        <v>View Profile</v>
      </c>
      <c r="M44" s="19" t="s">
        <v>25</v>
      </c>
      <c r="N44" s="22">
        <f t="shared" si="0"/>
        <v>5000000</v>
      </c>
    </row>
    <row r="45" spans="1:14" ht="13.2">
      <c r="A45" s="19">
        <v>29988182</v>
      </c>
      <c r="B45" s="19" t="s">
        <v>130</v>
      </c>
      <c r="C45" s="19">
        <v>46</v>
      </c>
      <c r="D45" s="19">
        <v>36</v>
      </c>
      <c r="E45" s="19">
        <v>463</v>
      </c>
      <c r="F45" s="19">
        <v>15.43</v>
      </c>
      <c r="G45" s="19">
        <v>159.11000000000001</v>
      </c>
      <c r="H45" s="20">
        <v>41</v>
      </c>
      <c r="I45" s="19">
        <v>13</v>
      </c>
      <c r="J45" s="19">
        <v>10.68</v>
      </c>
      <c r="K45" s="19">
        <v>26</v>
      </c>
      <c r="L45" s="21" t="str">
        <f>HYPERLINK("https://cricheroes.com/player-profile/29988182/tushal-shaw/stats","View Profile")</f>
        <v>View Profile</v>
      </c>
      <c r="M45" s="19" t="s">
        <v>50</v>
      </c>
      <c r="N45" s="22">
        <f t="shared" si="0"/>
        <v>10000000</v>
      </c>
    </row>
    <row r="46" spans="1:14" ht="13.2">
      <c r="A46" s="19">
        <v>10984519</v>
      </c>
      <c r="B46" s="19" t="s">
        <v>173</v>
      </c>
      <c r="C46" s="19">
        <v>187</v>
      </c>
      <c r="D46" s="19">
        <v>152</v>
      </c>
      <c r="E46" s="19">
        <v>3072</v>
      </c>
      <c r="F46" s="19">
        <v>29.26</v>
      </c>
      <c r="G46" s="19">
        <v>213.63</v>
      </c>
      <c r="H46" s="20" t="s">
        <v>174</v>
      </c>
      <c r="I46" s="19">
        <v>105</v>
      </c>
      <c r="J46" s="19">
        <v>9.0500000000000007</v>
      </c>
      <c r="K46" s="19">
        <v>127</v>
      </c>
      <c r="L46" s="21" t="str">
        <f>HYPERLINK("https://cricheroes.com/player-profile/10984519/ujjawal-jha/stats","View Profile")</f>
        <v>View Profile</v>
      </c>
      <c r="M46" s="19" t="s">
        <v>40</v>
      </c>
      <c r="N46" s="22">
        <f t="shared" si="0"/>
        <v>20000000</v>
      </c>
    </row>
    <row r="47" spans="1:14" ht="13.2">
      <c r="A47" s="19"/>
      <c r="H47" s="20"/>
    </row>
    <row r="48" spans="1:14" ht="13.2">
      <c r="A48" s="19"/>
      <c r="H48" s="20"/>
    </row>
    <row r="49" spans="1:8" ht="13.2">
      <c r="A49" s="19"/>
      <c r="H49" s="20"/>
    </row>
    <row r="50" spans="1:8" ht="13.2">
      <c r="A50" s="19"/>
      <c r="H50" s="20"/>
    </row>
    <row r="51" spans="1:8" ht="13.2">
      <c r="A51" s="19"/>
      <c r="H51" s="20"/>
    </row>
    <row r="52" spans="1:8" ht="13.2">
      <c r="A52" s="19"/>
      <c r="H52" s="20"/>
    </row>
    <row r="53" spans="1:8" ht="13.2">
      <c r="A53" s="19"/>
      <c r="H53" s="20"/>
    </row>
    <row r="54" spans="1:8" ht="13.2">
      <c r="A54" s="19"/>
      <c r="H54" s="20"/>
    </row>
    <row r="55" spans="1:8" ht="13.2">
      <c r="A55" s="19"/>
      <c r="H55" s="20"/>
    </row>
    <row r="56" spans="1:8" ht="13.2">
      <c r="A56" s="19"/>
      <c r="H56" s="20"/>
    </row>
    <row r="57" spans="1:8" ht="13.2">
      <c r="A57" s="19"/>
      <c r="H57" s="20"/>
    </row>
    <row r="58" spans="1:8" ht="13.2">
      <c r="A58" s="19"/>
      <c r="H58" s="20"/>
    </row>
    <row r="59" spans="1:8" ht="13.2">
      <c r="A59" s="19"/>
      <c r="H59" s="20"/>
    </row>
    <row r="60" spans="1:8" ht="13.2">
      <c r="A60" s="19"/>
      <c r="H60" s="20"/>
    </row>
    <row r="61" spans="1:8" ht="13.2">
      <c r="A61" s="19"/>
      <c r="H61" s="20"/>
    </row>
    <row r="62" spans="1:8" ht="13.2">
      <c r="A62" s="19"/>
      <c r="H62" s="20"/>
    </row>
    <row r="63" spans="1:8" ht="13.2">
      <c r="A63" s="19"/>
      <c r="H63" s="20"/>
    </row>
    <row r="64" spans="1:8" ht="13.2">
      <c r="A64" s="19"/>
      <c r="H64" s="20"/>
    </row>
    <row r="65" spans="1:8" ht="13.2">
      <c r="A65" s="19"/>
      <c r="H65" s="20"/>
    </row>
    <row r="66" spans="1:8" ht="13.2">
      <c r="A66" s="19"/>
      <c r="H66" s="20"/>
    </row>
    <row r="67" spans="1:8" ht="13.2">
      <c r="A67" s="19"/>
      <c r="H67" s="20"/>
    </row>
    <row r="68" spans="1:8" ht="13.2">
      <c r="A68" s="19"/>
      <c r="H68" s="20"/>
    </row>
    <row r="69" spans="1:8" ht="13.2">
      <c r="A69" s="19"/>
      <c r="H69" s="20"/>
    </row>
    <row r="70" spans="1:8" ht="13.2">
      <c r="A70" s="19"/>
      <c r="H70" s="20"/>
    </row>
    <row r="71" spans="1:8" ht="13.2">
      <c r="A71" s="19"/>
      <c r="H71" s="20"/>
    </row>
    <row r="72" spans="1:8" ht="13.2">
      <c r="A72" s="19"/>
      <c r="H72" s="20"/>
    </row>
    <row r="73" spans="1:8" ht="13.2">
      <c r="A73" s="19"/>
      <c r="H73" s="20"/>
    </row>
    <row r="74" spans="1:8" ht="13.2">
      <c r="A74" s="19"/>
      <c r="H74" s="20"/>
    </row>
    <row r="75" spans="1:8" ht="13.2">
      <c r="A75" s="19"/>
      <c r="H75" s="20"/>
    </row>
    <row r="76" spans="1:8" ht="13.2">
      <c r="A76" s="19"/>
      <c r="H76" s="20"/>
    </row>
    <row r="77" spans="1:8" ht="13.2">
      <c r="A77" s="19"/>
      <c r="H77" s="20"/>
    </row>
    <row r="78" spans="1:8" ht="13.2">
      <c r="A78" s="19"/>
      <c r="H78" s="20"/>
    </row>
    <row r="79" spans="1:8" ht="13.2">
      <c r="A79" s="19"/>
      <c r="H79" s="20"/>
    </row>
    <row r="80" spans="1:8" ht="13.2">
      <c r="A80" s="19"/>
      <c r="H80" s="20"/>
    </row>
    <row r="81" spans="1:8" ht="13.2">
      <c r="A81" s="19"/>
      <c r="H81" s="20"/>
    </row>
    <row r="82" spans="1:8" ht="13.2">
      <c r="A82" s="19"/>
      <c r="H82" s="20"/>
    </row>
    <row r="83" spans="1:8" ht="13.2">
      <c r="A83" s="19"/>
      <c r="H83" s="20"/>
    </row>
    <row r="84" spans="1:8" ht="13.2">
      <c r="A84" s="19"/>
      <c r="H84" s="20"/>
    </row>
    <row r="85" spans="1:8" ht="13.2">
      <c r="A85" s="19"/>
      <c r="H85" s="20"/>
    </row>
    <row r="86" spans="1:8" ht="13.2">
      <c r="A86" s="19"/>
      <c r="H86" s="20"/>
    </row>
    <row r="87" spans="1:8" ht="13.2">
      <c r="A87" s="19"/>
      <c r="H87" s="20"/>
    </row>
    <row r="88" spans="1:8" ht="13.2">
      <c r="A88" s="19"/>
      <c r="H88" s="20"/>
    </row>
    <row r="89" spans="1:8" ht="13.2">
      <c r="A89" s="19"/>
      <c r="H89" s="20"/>
    </row>
    <row r="90" spans="1:8" ht="13.2">
      <c r="A90" s="19"/>
      <c r="H90" s="20"/>
    </row>
    <row r="91" spans="1:8" ht="13.2">
      <c r="A91" s="19"/>
      <c r="H91" s="20"/>
    </row>
    <row r="92" spans="1:8" ht="13.2">
      <c r="A92" s="19"/>
      <c r="H92" s="20"/>
    </row>
    <row r="93" spans="1:8" ht="13.2">
      <c r="A93" s="19"/>
      <c r="H93" s="20"/>
    </row>
    <row r="94" spans="1:8" ht="13.2">
      <c r="A94" s="19"/>
      <c r="H94" s="20"/>
    </row>
    <row r="95" spans="1:8" ht="13.2">
      <c r="A95" s="19"/>
      <c r="H95" s="20"/>
    </row>
    <row r="96" spans="1:8" ht="13.2">
      <c r="A96" s="19"/>
      <c r="H96" s="20"/>
    </row>
    <row r="97" spans="1:8" ht="13.2">
      <c r="A97" s="19"/>
      <c r="H97" s="20"/>
    </row>
    <row r="98" spans="1:8" ht="13.2">
      <c r="A98" s="19"/>
      <c r="H98" s="20"/>
    </row>
    <row r="99" spans="1:8" ht="13.2">
      <c r="A99" s="19"/>
      <c r="H99" s="20"/>
    </row>
    <row r="100" spans="1:8" ht="13.2">
      <c r="A100" s="19"/>
      <c r="H100" s="20"/>
    </row>
    <row r="101" spans="1:8" ht="13.2">
      <c r="A101" s="19"/>
      <c r="H101" s="20"/>
    </row>
    <row r="102" spans="1:8" ht="13.2">
      <c r="A102" s="19"/>
      <c r="H102" s="20"/>
    </row>
    <row r="103" spans="1:8" ht="13.2">
      <c r="A103" s="19"/>
      <c r="H103" s="20"/>
    </row>
    <row r="104" spans="1:8" ht="13.2">
      <c r="A104" s="19"/>
      <c r="H104" s="20"/>
    </row>
    <row r="105" spans="1:8" ht="13.2">
      <c r="A105" s="19"/>
      <c r="H105" s="20"/>
    </row>
    <row r="106" spans="1:8" ht="13.2">
      <c r="A106" s="19"/>
      <c r="H106" s="20"/>
    </row>
    <row r="107" spans="1:8" ht="13.2">
      <c r="A107" s="19"/>
      <c r="H107" s="20"/>
    </row>
    <row r="108" spans="1:8" ht="13.2">
      <c r="A108" s="19"/>
      <c r="H108" s="20"/>
    </row>
    <row r="109" spans="1:8" ht="13.2">
      <c r="A109" s="19"/>
      <c r="H109" s="20"/>
    </row>
    <row r="110" spans="1:8" ht="13.2">
      <c r="A110" s="19"/>
      <c r="H110" s="20"/>
    </row>
    <row r="111" spans="1:8" ht="13.2">
      <c r="A111" s="19"/>
      <c r="H111" s="20"/>
    </row>
    <row r="112" spans="1:8" ht="13.2">
      <c r="A112" s="19"/>
      <c r="H112" s="20"/>
    </row>
    <row r="113" spans="1:8" ht="13.2">
      <c r="A113" s="19"/>
      <c r="H113" s="20"/>
    </row>
    <row r="114" spans="1:8" ht="13.2">
      <c r="A114" s="19"/>
      <c r="H114" s="20"/>
    </row>
    <row r="115" spans="1:8" ht="13.2">
      <c r="A115" s="19"/>
      <c r="H115" s="20"/>
    </row>
    <row r="116" spans="1:8" ht="13.2">
      <c r="A116" s="19"/>
      <c r="H116" s="20"/>
    </row>
    <row r="117" spans="1:8" ht="13.2">
      <c r="A117" s="19"/>
      <c r="H117" s="20"/>
    </row>
    <row r="118" spans="1:8" ht="13.2">
      <c r="A118" s="19"/>
      <c r="H118" s="20"/>
    </row>
    <row r="119" spans="1:8" ht="13.2">
      <c r="A119" s="19"/>
      <c r="H119" s="20"/>
    </row>
    <row r="120" spans="1:8" ht="13.2">
      <c r="A120" s="19"/>
      <c r="H120" s="20"/>
    </row>
    <row r="121" spans="1:8" ht="13.2">
      <c r="A121" s="19"/>
      <c r="H121" s="20"/>
    </row>
    <row r="122" spans="1:8" ht="13.2">
      <c r="A122" s="19"/>
      <c r="H122" s="20"/>
    </row>
    <row r="123" spans="1:8" ht="13.2">
      <c r="A123" s="19"/>
      <c r="H123" s="20"/>
    </row>
    <row r="124" spans="1:8" ht="13.2">
      <c r="A124" s="19"/>
      <c r="H124" s="20"/>
    </row>
    <row r="125" spans="1:8" ht="13.2">
      <c r="A125" s="19"/>
      <c r="H125" s="20"/>
    </row>
    <row r="126" spans="1:8" ht="13.2">
      <c r="A126" s="19"/>
      <c r="H126" s="20"/>
    </row>
    <row r="127" spans="1:8" ht="13.2">
      <c r="A127" s="19"/>
      <c r="H127" s="20"/>
    </row>
    <row r="128" spans="1:8" ht="13.2">
      <c r="A128" s="19"/>
      <c r="H128" s="20"/>
    </row>
    <row r="129" spans="1:8" ht="13.2">
      <c r="A129" s="19"/>
      <c r="H129" s="20"/>
    </row>
    <row r="130" spans="1:8" ht="13.2">
      <c r="A130" s="19"/>
      <c r="H130" s="20"/>
    </row>
    <row r="131" spans="1:8" ht="13.2">
      <c r="A131" s="19"/>
      <c r="H131" s="20"/>
    </row>
    <row r="132" spans="1:8" ht="13.2">
      <c r="A132" s="19"/>
      <c r="H132" s="20"/>
    </row>
    <row r="133" spans="1:8" ht="13.2">
      <c r="A133" s="19"/>
      <c r="H133" s="20"/>
    </row>
    <row r="134" spans="1:8" ht="13.2">
      <c r="A134" s="19"/>
      <c r="H134" s="20"/>
    </row>
    <row r="135" spans="1:8" ht="13.2">
      <c r="A135" s="19"/>
      <c r="H135" s="20"/>
    </row>
    <row r="136" spans="1:8" ht="13.2">
      <c r="A136" s="19"/>
      <c r="H136" s="20"/>
    </row>
    <row r="137" spans="1:8" ht="13.2">
      <c r="A137" s="19"/>
      <c r="H137" s="20"/>
    </row>
    <row r="138" spans="1:8" ht="13.2">
      <c r="A138" s="19"/>
      <c r="H138" s="20"/>
    </row>
    <row r="139" spans="1:8" ht="13.2">
      <c r="A139" s="19"/>
      <c r="H139" s="20"/>
    </row>
    <row r="140" spans="1:8" ht="13.2">
      <c r="A140" s="19"/>
      <c r="H140" s="20"/>
    </row>
    <row r="141" spans="1:8" ht="13.2">
      <c r="A141" s="19"/>
      <c r="H141" s="20"/>
    </row>
    <row r="142" spans="1:8" ht="13.2">
      <c r="A142" s="19"/>
      <c r="H142" s="20"/>
    </row>
    <row r="143" spans="1:8" ht="13.2">
      <c r="A143" s="19"/>
      <c r="H143" s="20"/>
    </row>
    <row r="144" spans="1:8" ht="13.2">
      <c r="A144" s="19"/>
      <c r="H144" s="20"/>
    </row>
    <row r="145" spans="1:8" ht="13.2">
      <c r="A145" s="19"/>
      <c r="H145" s="20"/>
    </row>
    <row r="146" spans="1:8" ht="13.2">
      <c r="A146" s="19"/>
      <c r="H146" s="20"/>
    </row>
    <row r="147" spans="1:8" ht="13.2">
      <c r="A147" s="19"/>
      <c r="H147" s="20"/>
    </row>
    <row r="148" spans="1:8" ht="13.2">
      <c r="A148" s="19"/>
      <c r="H148" s="20"/>
    </row>
    <row r="149" spans="1:8" ht="13.2">
      <c r="A149" s="19"/>
      <c r="H149" s="20"/>
    </row>
    <row r="150" spans="1:8" ht="13.2">
      <c r="A150" s="19"/>
      <c r="H150" s="20"/>
    </row>
    <row r="151" spans="1:8" ht="13.2">
      <c r="A151" s="19"/>
      <c r="H151" s="20"/>
    </row>
    <row r="152" spans="1:8" ht="13.2">
      <c r="A152" s="19"/>
      <c r="H152" s="20"/>
    </row>
    <row r="153" spans="1:8" ht="13.2">
      <c r="A153" s="19"/>
      <c r="H153" s="20"/>
    </row>
    <row r="154" spans="1:8" ht="13.2">
      <c r="A154" s="19"/>
      <c r="H154" s="20"/>
    </row>
    <row r="155" spans="1:8" ht="13.2">
      <c r="A155" s="19"/>
      <c r="H155" s="20"/>
    </row>
    <row r="156" spans="1:8" ht="13.2">
      <c r="A156" s="19"/>
      <c r="H156" s="20"/>
    </row>
    <row r="157" spans="1:8" ht="13.2">
      <c r="A157" s="19"/>
      <c r="H157" s="20"/>
    </row>
    <row r="158" spans="1:8" ht="13.2">
      <c r="A158" s="19"/>
      <c r="H158" s="20"/>
    </row>
    <row r="159" spans="1:8" ht="13.2">
      <c r="A159" s="19"/>
      <c r="H159" s="20"/>
    </row>
    <row r="160" spans="1:8" ht="13.2">
      <c r="A160" s="19"/>
      <c r="H160" s="20"/>
    </row>
    <row r="161" spans="1:8" ht="13.2">
      <c r="A161" s="19"/>
      <c r="H161" s="20"/>
    </row>
    <row r="162" spans="1:8" ht="13.2">
      <c r="A162" s="19"/>
      <c r="H162" s="20"/>
    </row>
    <row r="163" spans="1:8" ht="13.2">
      <c r="A163" s="19"/>
      <c r="H163" s="20"/>
    </row>
    <row r="164" spans="1:8" ht="13.2">
      <c r="A164" s="19"/>
      <c r="H164" s="20"/>
    </row>
    <row r="165" spans="1:8" ht="13.2">
      <c r="A165" s="19"/>
      <c r="H165" s="20"/>
    </row>
    <row r="166" spans="1:8" ht="13.2">
      <c r="A166" s="19"/>
      <c r="H166" s="20"/>
    </row>
    <row r="167" spans="1:8" ht="13.2">
      <c r="A167" s="19"/>
      <c r="H167" s="20"/>
    </row>
    <row r="168" spans="1:8" ht="13.2">
      <c r="A168" s="19"/>
      <c r="H168" s="20"/>
    </row>
    <row r="169" spans="1:8" ht="13.2">
      <c r="A169" s="19"/>
      <c r="H169" s="20"/>
    </row>
    <row r="170" spans="1:8" ht="13.2">
      <c r="A170" s="19"/>
      <c r="H170" s="20"/>
    </row>
    <row r="171" spans="1:8" ht="13.2">
      <c r="A171" s="19"/>
      <c r="H171" s="20"/>
    </row>
    <row r="172" spans="1:8" ht="13.2">
      <c r="A172" s="19"/>
      <c r="H172" s="20"/>
    </row>
    <row r="173" spans="1:8" ht="13.2">
      <c r="A173" s="19"/>
      <c r="H173" s="20"/>
    </row>
    <row r="174" spans="1:8" ht="13.2">
      <c r="A174" s="19"/>
      <c r="H174" s="20"/>
    </row>
    <row r="175" spans="1:8" ht="13.2">
      <c r="A175" s="19"/>
      <c r="H175" s="20"/>
    </row>
    <row r="176" spans="1:8" ht="13.2">
      <c r="A176" s="19"/>
      <c r="H176" s="20"/>
    </row>
    <row r="177" spans="1:8" ht="13.2">
      <c r="A177" s="19"/>
      <c r="H177" s="20"/>
    </row>
    <row r="178" spans="1:8" ht="13.2">
      <c r="A178" s="19"/>
      <c r="H178" s="20"/>
    </row>
    <row r="179" spans="1:8" ht="13.2">
      <c r="A179" s="19"/>
      <c r="H179" s="20"/>
    </row>
    <row r="180" spans="1:8" ht="13.2">
      <c r="A180" s="19"/>
      <c r="H180" s="20"/>
    </row>
    <row r="181" spans="1:8" ht="13.2">
      <c r="A181" s="19"/>
      <c r="H181" s="20"/>
    </row>
    <row r="182" spans="1:8" ht="13.2">
      <c r="A182" s="19"/>
      <c r="H182" s="20"/>
    </row>
    <row r="183" spans="1:8" ht="13.2">
      <c r="A183" s="19"/>
      <c r="H183" s="20"/>
    </row>
    <row r="184" spans="1:8" ht="13.2">
      <c r="A184" s="19"/>
      <c r="H184" s="20"/>
    </row>
    <row r="185" spans="1:8" ht="13.2">
      <c r="A185" s="19"/>
      <c r="H185" s="20"/>
    </row>
    <row r="186" spans="1:8" ht="13.2">
      <c r="A186" s="19"/>
      <c r="H186" s="20"/>
    </row>
    <row r="187" spans="1:8" ht="13.2">
      <c r="A187" s="19"/>
      <c r="H187" s="20"/>
    </row>
    <row r="188" spans="1:8" ht="13.2">
      <c r="A188" s="19"/>
      <c r="H188" s="20"/>
    </row>
    <row r="189" spans="1:8" ht="13.2">
      <c r="A189" s="19"/>
      <c r="H189" s="20"/>
    </row>
    <row r="190" spans="1:8" ht="13.2">
      <c r="A190" s="19"/>
      <c r="H190" s="20"/>
    </row>
    <row r="191" spans="1:8" ht="13.2">
      <c r="A191" s="19"/>
      <c r="H191" s="20"/>
    </row>
    <row r="192" spans="1:8" ht="13.2">
      <c r="A192" s="19"/>
      <c r="H192" s="20"/>
    </row>
    <row r="193" spans="1:8" ht="13.2">
      <c r="A193" s="19"/>
      <c r="H193" s="20"/>
    </row>
    <row r="194" spans="1:8" ht="13.2">
      <c r="A194" s="19"/>
      <c r="H194" s="20"/>
    </row>
    <row r="195" spans="1:8" ht="13.2">
      <c r="A195" s="19"/>
      <c r="H195" s="20"/>
    </row>
    <row r="196" spans="1:8" ht="13.2">
      <c r="A196" s="19"/>
      <c r="H196" s="20"/>
    </row>
    <row r="197" spans="1:8" ht="13.2">
      <c r="A197" s="19"/>
      <c r="H197" s="20"/>
    </row>
    <row r="198" spans="1:8" ht="13.2">
      <c r="A198" s="19"/>
      <c r="H198" s="20"/>
    </row>
    <row r="199" spans="1:8" ht="13.2">
      <c r="A199" s="19"/>
      <c r="H199" s="20"/>
    </row>
    <row r="200" spans="1:8" ht="13.2">
      <c r="A200" s="19"/>
      <c r="H200" s="20"/>
    </row>
    <row r="201" spans="1:8" ht="13.2">
      <c r="A201" s="19"/>
      <c r="H201" s="20"/>
    </row>
    <row r="202" spans="1:8" ht="13.2">
      <c r="A202" s="19"/>
      <c r="H202" s="20"/>
    </row>
    <row r="203" spans="1:8" ht="13.2">
      <c r="A203" s="19"/>
      <c r="H203" s="20"/>
    </row>
    <row r="204" spans="1:8" ht="13.2">
      <c r="A204" s="19"/>
      <c r="H204" s="20"/>
    </row>
    <row r="205" spans="1:8" ht="13.2">
      <c r="A205" s="19"/>
      <c r="H205" s="20"/>
    </row>
    <row r="206" spans="1:8" ht="13.2">
      <c r="A206" s="19"/>
      <c r="H206" s="20"/>
    </row>
    <row r="207" spans="1:8" ht="13.2">
      <c r="A207" s="19"/>
      <c r="H207" s="20"/>
    </row>
    <row r="208" spans="1:8" ht="13.2">
      <c r="A208" s="19"/>
      <c r="H208" s="20"/>
    </row>
    <row r="209" spans="1:8" ht="13.2">
      <c r="A209" s="19"/>
      <c r="H209" s="20"/>
    </row>
    <row r="210" spans="1:8" ht="13.2">
      <c r="A210" s="19"/>
      <c r="H210" s="20"/>
    </row>
    <row r="211" spans="1:8" ht="13.2">
      <c r="A211" s="19"/>
      <c r="H211" s="20"/>
    </row>
    <row r="212" spans="1:8" ht="13.2">
      <c r="A212" s="19"/>
      <c r="H212" s="20"/>
    </row>
    <row r="213" spans="1:8" ht="13.2">
      <c r="A213" s="19"/>
      <c r="H213" s="20"/>
    </row>
    <row r="214" spans="1:8" ht="13.2">
      <c r="A214" s="19"/>
      <c r="H214" s="20"/>
    </row>
    <row r="215" spans="1:8" ht="13.2">
      <c r="A215" s="19"/>
      <c r="H215" s="20"/>
    </row>
    <row r="216" spans="1:8" ht="13.2">
      <c r="A216" s="19"/>
      <c r="H216" s="20"/>
    </row>
    <row r="217" spans="1:8" ht="13.2">
      <c r="A217" s="19"/>
      <c r="H217" s="20"/>
    </row>
    <row r="218" spans="1:8" ht="13.2">
      <c r="A218" s="19"/>
      <c r="H218" s="20"/>
    </row>
    <row r="219" spans="1:8" ht="13.2">
      <c r="A219" s="19"/>
      <c r="H219" s="20"/>
    </row>
    <row r="220" spans="1:8" ht="13.2">
      <c r="A220" s="19"/>
      <c r="H220" s="20"/>
    </row>
    <row r="221" spans="1:8" ht="13.2">
      <c r="A221" s="19"/>
      <c r="H221" s="20"/>
    </row>
    <row r="222" spans="1:8" ht="13.2">
      <c r="A222" s="19"/>
      <c r="H222" s="20"/>
    </row>
    <row r="223" spans="1:8" ht="13.2">
      <c r="A223" s="19"/>
      <c r="H223" s="20"/>
    </row>
    <row r="224" spans="1:8" ht="13.2">
      <c r="A224" s="19"/>
      <c r="H224" s="20"/>
    </row>
    <row r="225" spans="1:8" ht="13.2">
      <c r="A225" s="19"/>
      <c r="H225" s="20"/>
    </row>
    <row r="226" spans="1:8" ht="13.2">
      <c r="A226" s="19"/>
      <c r="H226" s="20"/>
    </row>
    <row r="227" spans="1:8" ht="13.2">
      <c r="A227" s="19"/>
      <c r="H227" s="20"/>
    </row>
    <row r="228" spans="1:8" ht="13.2">
      <c r="A228" s="19"/>
      <c r="H228" s="20"/>
    </row>
    <row r="229" spans="1:8" ht="13.2">
      <c r="A229" s="19"/>
      <c r="H229" s="20"/>
    </row>
    <row r="230" spans="1:8" ht="13.2">
      <c r="A230" s="19"/>
      <c r="H230" s="20"/>
    </row>
    <row r="231" spans="1:8" ht="13.2">
      <c r="A231" s="19"/>
      <c r="H231" s="20"/>
    </row>
    <row r="232" spans="1:8" ht="13.2">
      <c r="A232" s="19"/>
      <c r="H232" s="20"/>
    </row>
    <row r="233" spans="1:8" ht="13.2">
      <c r="A233" s="19"/>
      <c r="H233" s="20"/>
    </row>
    <row r="234" spans="1:8" ht="13.2">
      <c r="A234" s="19"/>
      <c r="H234" s="20"/>
    </row>
    <row r="235" spans="1:8" ht="13.2">
      <c r="A235" s="19"/>
      <c r="H235" s="20"/>
    </row>
    <row r="236" spans="1:8" ht="13.2">
      <c r="A236" s="19"/>
      <c r="H236" s="20"/>
    </row>
    <row r="237" spans="1:8" ht="13.2">
      <c r="A237" s="19"/>
      <c r="H237" s="20"/>
    </row>
    <row r="238" spans="1:8" ht="13.2">
      <c r="A238" s="19"/>
      <c r="H238" s="20"/>
    </row>
    <row r="239" spans="1:8" ht="13.2">
      <c r="A239" s="19"/>
      <c r="H239" s="20"/>
    </row>
    <row r="240" spans="1:8" ht="13.2">
      <c r="A240" s="19"/>
      <c r="H240" s="20"/>
    </row>
    <row r="241" spans="1:8" ht="13.2">
      <c r="A241" s="19"/>
      <c r="H241" s="20"/>
    </row>
    <row r="242" spans="1:8" ht="13.2">
      <c r="A242" s="19"/>
      <c r="H242" s="20"/>
    </row>
    <row r="243" spans="1:8" ht="13.2">
      <c r="A243" s="19"/>
      <c r="H243" s="20"/>
    </row>
    <row r="244" spans="1:8" ht="13.2">
      <c r="A244" s="19"/>
      <c r="H244" s="20"/>
    </row>
    <row r="245" spans="1:8" ht="13.2">
      <c r="A245" s="19"/>
      <c r="H245" s="20"/>
    </row>
    <row r="246" spans="1:8" ht="13.2">
      <c r="A246" s="19"/>
      <c r="H246" s="20"/>
    </row>
    <row r="247" spans="1:8" ht="13.2">
      <c r="A247" s="19"/>
      <c r="H247" s="20"/>
    </row>
    <row r="248" spans="1:8" ht="13.2">
      <c r="A248" s="19"/>
      <c r="H248" s="20"/>
    </row>
    <row r="249" spans="1:8" ht="13.2">
      <c r="A249" s="19"/>
      <c r="H249" s="20"/>
    </row>
    <row r="250" spans="1:8" ht="13.2">
      <c r="A250" s="19"/>
      <c r="H250" s="20"/>
    </row>
    <row r="251" spans="1:8" ht="13.2">
      <c r="A251" s="19"/>
      <c r="H251" s="20"/>
    </row>
    <row r="252" spans="1:8" ht="13.2">
      <c r="A252" s="19"/>
      <c r="H252" s="20"/>
    </row>
    <row r="253" spans="1:8" ht="13.2">
      <c r="A253" s="19"/>
      <c r="H253" s="20"/>
    </row>
    <row r="254" spans="1:8" ht="13.2">
      <c r="A254" s="19"/>
      <c r="H254" s="20"/>
    </row>
    <row r="255" spans="1:8" ht="13.2">
      <c r="A255" s="19"/>
      <c r="H255" s="20"/>
    </row>
    <row r="256" spans="1:8" ht="13.2">
      <c r="A256" s="19"/>
      <c r="H256" s="20"/>
    </row>
    <row r="257" spans="1:8" ht="13.2">
      <c r="A257" s="19"/>
      <c r="H257" s="20"/>
    </row>
    <row r="258" spans="1:8" ht="13.2">
      <c r="A258" s="19"/>
      <c r="H258" s="20"/>
    </row>
    <row r="259" spans="1:8" ht="13.2">
      <c r="A259" s="19"/>
      <c r="H259" s="20"/>
    </row>
    <row r="260" spans="1:8" ht="13.2">
      <c r="A260" s="19"/>
      <c r="H260" s="20"/>
    </row>
    <row r="261" spans="1:8" ht="13.2">
      <c r="A261" s="19"/>
      <c r="H261" s="20"/>
    </row>
    <row r="262" spans="1:8" ht="13.2">
      <c r="A262" s="19"/>
      <c r="H262" s="20"/>
    </row>
    <row r="263" spans="1:8" ht="13.2">
      <c r="A263" s="19"/>
      <c r="H263" s="20"/>
    </row>
    <row r="264" spans="1:8" ht="13.2">
      <c r="A264" s="19"/>
      <c r="H264" s="20"/>
    </row>
    <row r="265" spans="1:8" ht="13.2">
      <c r="A265" s="19"/>
      <c r="H265" s="20"/>
    </row>
    <row r="266" spans="1:8" ht="13.2">
      <c r="A266" s="19"/>
      <c r="H266" s="20"/>
    </row>
    <row r="267" spans="1:8" ht="13.2">
      <c r="A267" s="19"/>
      <c r="H267" s="20"/>
    </row>
    <row r="268" spans="1:8" ht="13.2">
      <c r="A268" s="19"/>
      <c r="H268" s="20"/>
    </row>
    <row r="269" spans="1:8" ht="13.2">
      <c r="A269" s="19"/>
      <c r="H269" s="20"/>
    </row>
    <row r="270" spans="1:8" ht="13.2">
      <c r="A270" s="19"/>
      <c r="H270" s="20"/>
    </row>
    <row r="271" spans="1:8" ht="13.2">
      <c r="A271" s="19"/>
      <c r="H271" s="20"/>
    </row>
    <row r="272" spans="1:8" ht="13.2">
      <c r="A272" s="19"/>
      <c r="H272" s="20"/>
    </row>
    <row r="273" spans="1:8" ht="13.2">
      <c r="A273" s="19"/>
      <c r="H273" s="20"/>
    </row>
    <row r="274" spans="1:8" ht="13.2">
      <c r="A274" s="19"/>
      <c r="H274" s="20"/>
    </row>
    <row r="275" spans="1:8" ht="13.2">
      <c r="A275" s="19"/>
      <c r="H275" s="20"/>
    </row>
    <row r="276" spans="1:8" ht="13.2">
      <c r="A276" s="19"/>
      <c r="H276" s="20"/>
    </row>
    <row r="277" spans="1:8" ht="13.2">
      <c r="A277" s="19"/>
      <c r="H277" s="20"/>
    </row>
    <row r="278" spans="1:8" ht="13.2">
      <c r="A278" s="19"/>
      <c r="H278" s="20"/>
    </row>
    <row r="279" spans="1:8" ht="13.2">
      <c r="A279" s="19"/>
      <c r="H279" s="20"/>
    </row>
    <row r="280" spans="1:8" ht="13.2">
      <c r="A280" s="19"/>
      <c r="H280" s="20"/>
    </row>
    <row r="281" spans="1:8" ht="13.2">
      <c r="A281" s="19"/>
      <c r="H281" s="20"/>
    </row>
    <row r="282" spans="1:8" ht="13.2">
      <c r="A282" s="19"/>
      <c r="H282" s="20"/>
    </row>
    <row r="283" spans="1:8" ht="13.2">
      <c r="A283" s="19"/>
      <c r="H283" s="20"/>
    </row>
    <row r="284" spans="1:8" ht="13.2">
      <c r="A284" s="19"/>
      <c r="H284" s="20"/>
    </row>
    <row r="285" spans="1:8" ht="13.2">
      <c r="A285" s="19"/>
      <c r="H285" s="20"/>
    </row>
    <row r="286" spans="1:8" ht="13.2">
      <c r="A286" s="19"/>
      <c r="H286" s="20"/>
    </row>
    <row r="287" spans="1:8" ht="13.2">
      <c r="A287" s="19"/>
      <c r="H287" s="20"/>
    </row>
    <row r="288" spans="1:8" ht="13.2">
      <c r="A288" s="19"/>
      <c r="H288" s="20"/>
    </row>
    <row r="289" spans="1:8" ht="13.2">
      <c r="A289" s="19"/>
      <c r="H289" s="20"/>
    </row>
    <row r="290" spans="1:8" ht="13.2">
      <c r="A290" s="19"/>
      <c r="H290" s="20"/>
    </row>
    <row r="291" spans="1:8" ht="13.2">
      <c r="A291" s="19"/>
      <c r="H291" s="20"/>
    </row>
    <row r="292" spans="1:8" ht="13.2">
      <c r="A292" s="19"/>
      <c r="H292" s="20"/>
    </row>
    <row r="293" spans="1:8" ht="13.2">
      <c r="A293" s="19"/>
      <c r="H293" s="20"/>
    </row>
    <row r="294" spans="1:8" ht="13.2">
      <c r="A294" s="19"/>
      <c r="H294" s="20"/>
    </row>
    <row r="295" spans="1:8" ht="13.2">
      <c r="A295" s="19"/>
      <c r="H295" s="20"/>
    </row>
    <row r="296" spans="1:8" ht="13.2">
      <c r="A296" s="19"/>
      <c r="H296" s="20"/>
    </row>
    <row r="297" spans="1:8" ht="13.2">
      <c r="A297" s="19"/>
      <c r="H297" s="20"/>
    </row>
    <row r="298" spans="1:8" ht="13.2">
      <c r="A298" s="19"/>
      <c r="H298" s="20"/>
    </row>
    <row r="299" spans="1:8" ht="13.2">
      <c r="A299" s="19"/>
      <c r="H299" s="20"/>
    </row>
    <row r="300" spans="1:8" ht="13.2">
      <c r="A300" s="19"/>
      <c r="H300" s="20"/>
    </row>
    <row r="301" spans="1:8" ht="13.2">
      <c r="A301" s="19"/>
      <c r="H301" s="20"/>
    </row>
    <row r="302" spans="1:8" ht="13.2">
      <c r="A302" s="19"/>
      <c r="H302" s="20"/>
    </row>
    <row r="303" spans="1:8" ht="13.2">
      <c r="A303" s="19"/>
      <c r="H303" s="20"/>
    </row>
    <row r="304" spans="1:8" ht="13.2">
      <c r="A304" s="19"/>
      <c r="H304" s="20"/>
    </row>
    <row r="305" spans="1:8" ht="13.2">
      <c r="A305" s="19"/>
      <c r="H305" s="20"/>
    </row>
    <row r="306" spans="1:8" ht="13.2">
      <c r="A306" s="19"/>
      <c r="H306" s="20"/>
    </row>
    <row r="307" spans="1:8" ht="13.2">
      <c r="A307" s="19"/>
      <c r="H307" s="20"/>
    </row>
    <row r="308" spans="1:8" ht="13.2">
      <c r="A308" s="19"/>
      <c r="H308" s="20"/>
    </row>
    <row r="309" spans="1:8" ht="13.2">
      <c r="A309" s="19"/>
      <c r="H309" s="20"/>
    </row>
    <row r="310" spans="1:8" ht="13.2">
      <c r="A310" s="19"/>
      <c r="H310" s="20"/>
    </row>
    <row r="311" spans="1:8" ht="13.2">
      <c r="A311" s="19"/>
      <c r="H311" s="20"/>
    </row>
    <row r="312" spans="1:8" ht="13.2">
      <c r="A312" s="19"/>
      <c r="H312" s="20"/>
    </row>
    <row r="313" spans="1:8" ht="13.2">
      <c r="A313" s="19"/>
      <c r="H313" s="20"/>
    </row>
    <row r="314" spans="1:8" ht="13.2">
      <c r="A314" s="19"/>
      <c r="H314" s="20"/>
    </row>
    <row r="315" spans="1:8" ht="13.2">
      <c r="A315" s="19"/>
      <c r="H315" s="20"/>
    </row>
    <row r="316" spans="1:8" ht="13.2">
      <c r="A316" s="19"/>
      <c r="H316" s="20"/>
    </row>
    <row r="317" spans="1:8" ht="13.2">
      <c r="A317" s="19"/>
      <c r="H317" s="20"/>
    </row>
    <row r="318" spans="1:8" ht="13.2">
      <c r="A318" s="19"/>
      <c r="H318" s="20"/>
    </row>
    <row r="319" spans="1:8" ht="13.2">
      <c r="A319" s="19"/>
      <c r="H319" s="20"/>
    </row>
    <row r="320" spans="1:8" ht="13.2">
      <c r="A320" s="19"/>
      <c r="H320" s="20"/>
    </row>
    <row r="321" spans="1:8" ht="13.2">
      <c r="A321" s="19"/>
      <c r="H321" s="20"/>
    </row>
    <row r="322" spans="1:8" ht="13.2">
      <c r="A322" s="19"/>
      <c r="H322" s="20"/>
    </row>
    <row r="323" spans="1:8" ht="13.2">
      <c r="A323" s="19"/>
      <c r="H323" s="20"/>
    </row>
    <row r="324" spans="1:8" ht="13.2">
      <c r="A324" s="19"/>
      <c r="H324" s="20"/>
    </row>
    <row r="325" spans="1:8" ht="13.2">
      <c r="A325" s="19"/>
      <c r="H325" s="20"/>
    </row>
    <row r="326" spans="1:8" ht="13.2">
      <c r="A326" s="19"/>
      <c r="H326" s="20"/>
    </row>
    <row r="327" spans="1:8" ht="13.2">
      <c r="A327" s="19"/>
      <c r="H327" s="20"/>
    </row>
    <row r="328" spans="1:8" ht="13.2">
      <c r="A328" s="19"/>
      <c r="H328" s="20"/>
    </row>
    <row r="329" spans="1:8" ht="13.2">
      <c r="A329" s="19"/>
      <c r="H329" s="20"/>
    </row>
    <row r="330" spans="1:8" ht="13.2">
      <c r="A330" s="19"/>
      <c r="H330" s="20"/>
    </row>
    <row r="331" spans="1:8" ht="13.2">
      <c r="A331" s="19"/>
      <c r="H331" s="20"/>
    </row>
    <row r="332" spans="1:8" ht="13.2">
      <c r="A332" s="19"/>
      <c r="H332" s="20"/>
    </row>
    <row r="333" spans="1:8" ht="13.2">
      <c r="A333" s="19"/>
      <c r="H333" s="20"/>
    </row>
    <row r="334" spans="1:8" ht="13.2">
      <c r="A334" s="19"/>
      <c r="H334" s="20"/>
    </row>
    <row r="335" spans="1:8" ht="13.2">
      <c r="A335" s="19"/>
      <c r="H335" s="20"/>
    </row>
    <row r="336" spans="1:8" ht="13.2">
      <c r="A336" s="19"/>
      <c r="H336" s="20"/>
    </row>
    <row r="337" spans="1:8" ht="13.2">
      <c r="A337" s="19"/>
      <c r="H337" s="20"/>
    </row>
    <row r="338" spans="1:8" ht="13.2">
      <c r="A338" s="19"/>
      <c r="H338" s="20"/>
    </row>
    <row r="339" spans="1:8" ht="13.2">
      <c r="A339" s="19"/>
      <c r="H339" s="20"/>
    </row>
    <row r="340" spans="1:8" ht="13.2">
      <c r="A340" s="19"/>
      <c r="H340" s="20"/>
    </row>
    <row r="341" spans="1:8" ht="13.2">
      <c r="A341" s="19"/>
      <c r="H341" s="20"/>
    </row>
    <row r="342" spans="1:8" ht="13.2">
      <c r="A342" s="19"/>
      <c r="H342" s="20"/>
    </row>
    <row r="343" spans="1:8" ht="13.2">
      <c r="A343" s="19"/>
      <c r="H343" s="20"/>
    </row>
    <row r="344" spans="1:8" ht="13.2">
      <c r="A344" s="19"/>
      <c r="H344" s="20"/>
    </row>
    <row r="345" spans="1:8" ht="13.2">
      <c r="A345" s="19"/>
      <c r="H345" s="20"/>
    </row>
    <row r="346" spans="1:8" ht="13.2">
      <c r="A346" s="19"/>
      <c r="H346" s="20"/>
    </row>
    <row r="347" spans="1:8" ht="13.2">
      <c r="A347" s="19"/>
      <c r="H347" s="20"/>
    </row>
    <row r="348" spans="1:8" ht="13.2">
      <c r="A348" s="19"/>
      <c r="H348" s="20"/>
    </row>
    <row r="349" spans="1:8" ht="13.2">
      <c r="A349" s="19"/>
      <c r="H349" s="20"/>
    </row>
    <row r="350" spans="1:8" ht="13.2">
      <c r="A350" s="19"/>
      <c r="H350" s="20"/>
    </row>
    <row r="351" spans="1:8" ht="13.2">
      <c r="A351" s="19"/>
      <c r="H351" s="20"/>
    </row>
    <row r="352" spans="1:8" ht="13.2">
      <c r="A352" s="19"/>
      <c r="H352" s="20"/>
    </row>
    <row r="353" spans="1:8" ht="13.2">
      <c r="A353" s="19"/>
      <c r="H353" s="20"/>
    </row>
    <row r="354" spans="1:8" ht="13.2">
      <c r="A354" s="19"/>
      <c r="H354" s="20"/>
    </row>
    <row r="355" spans="1:8" ht="13.2">
      <c r="A355" s="19"/>
      <c r="H355" s="20"/>
    </row>
    <row r="356" spans="1:8" ht="13.2">
      <c r="A356" s="19"/>
      <c r="H356" s="20"/>
    </row>
    <row r="357" spans="1:8" ht="13.2">
      <c r="A357" s="19"/>
      <c r="H357" s="20"/>
    </row>
    <row r="358" spans="1:8" ht="13.2">
      <c r="A358" s="19"/>
      <c r="H358" s="20"/>
    </row>
    <row r="359" spans="1:8" ht="13.2">
      <c r="A359" s="19"/>
      <c r="H359" s="20"/>
    </row>
    <row r="360" spans="1:8" ht="13.2">
      <c r="A360" s="19"/>
      <c r="H360" s="20"/>
    </row>
    <row r="361" spans="1:8" ht="13.2">
      <c r="A361" s="19"/>
      <c r="H361" s="20"/>
    </row>
    <row r="362" spans="1:8" ht="13.2">
      <c r="A362" s="19"/>
      <c r="H362" s="20"/>
    </row>
    <row r="363" spans="1:8" ht="13.2">
      <c r="A363" s="19"/>
      <c r="H363" s="20"/>
    </row>
    <row r="364" spans="1:8" ht="13.2">
      <c r="A364" s="19"/>
      <c r="H364" s="20"/>
    </row>
    <row r="365" spans="1:8" ht="13.2">
      <c r="A365" s="19"/>
      <c r="H365" s="20"/>
    </row>
    <row r="366" spans="1:8" ht="13.2">
      <c r="A366" s="19"/>
      <c r="H366" s="20"/>
    </row>
    <row r="367" spans="1:8" ht="13.2">
      <c r="A367" s="19"/>
      <c r="H367" s="20"/>
    </row>
    <row r="368" spans="1:8" ht="13.2">
      <c r="A368" s="19"/>
      <c r="H368" s="20"/>
    </row>
    <row r="369" spans="1:8" ht="13.2">
      <c r="A369" s="19"/>
      <c r="H369" s="20"/>
    </row>
    <row r="370" spans="1:8" ht="13.2">
      <c r="A370" s="19"/>
      <c r="H370" s="20"/>
    </row>
    <row r="371" spans="1:8" ht="13.2">
      <c r="A371" s="19"/>
      <c r="H371" s="20"/>
    </row>
    <row r="372" spans="1:8" ht="13.2">
      <c r="A372" s="19"/>
      <c r="H372" s="20"/>
    </row>
    <row r="373" spans="1:8" ht="13.2">
      <c r="A373" s="19"/>
      <c r="H373" s="20"/>
    </row>
    <row r="374" spans="1:8" ht="13.2">
      <c r="A374" s="19"/>
      <c r="H374" s="20"/>
    </row>
    <row r="375" spans="1:8" ht="13.2">
      <c r="A375" s="19"/>
      <c r="H375" s="20"/>
    </row>
    <row r="376" spans="1:8" ht="13.2">
      <c r="A376" s="19"/>
      <c r="H376" s="20"/>
    </row>
    <row r="377" spans="1:8" ht="13.2">
      <c r="A377" s="19"/>
      <c r="H377" s="20"/>
    </row>
    <row r="378" spans="1:8" ht="13.2">
      <c r="A378" s="19"/>
      <c r="H378" s="20"/>
    </row>
    <row r="379" spans="1:8" ht="13.2">
      <c r="A379" s="19"/>
      <c r="H379" s="20"/>
    </row>
    <row r="380" spans="1:8" ht="13.2">
      <c r="A380" s="19"/>
      <c r="H380" s="20"/>
    </row>
    <row r="381" spans="1:8" ht="13.2">
      <c r="A381" s="19"/>
      <c r="H381" s="20"/>
    </row>
    <row r="382" spans="1:8" ht="13.2">
      <c r="A382" s="19"/>
      <c r="H382" s="20"/>
    </row>
    <row r="383" spans="1:8" ht="13.2">
      <c r="A383" s="19"/>
      <c r="H383" s="20"/>
    </row>
    <row r="384" spans="1:8" ht="13.2">
      <c r="A384" s="19"/>
      <c r="H384" s="20"/>
    </row>
    <row r="385" spans="1:8" ht="13.2">
      <c r="A385" s="19"/>
      <c r="H385" s="20"/>
    </row>
    <row r="386" spans="1:8" ht="13.2">
      <c r="A386" s="19"/>
      <c r="H386" s="20"/>
    </row>
    <row r="387" spans="1:8" ht="13.2">
      <c r="A387" s="19"/>
      <c r="H387" s="20"/>
    </row>
    <row r="388" spans="1:8" ht="13.2">
      <c r="A388" s="19"/>
      <c r="H388" s="20"/>
    </row>
    <row r="389" spans="1:8" ht="13.2">
      <c r="A389" s="19"/>
      <c r="H389" s="20"/>
    </row>
    <row r="390" spans="1:8" ht="13.2">
      <c r="A390" s="19"/>
      <c r="H390" s="20"/>
    </row>
    <row r="391" spans="1:8" ht="13.2">
      <c r="A391" s="19"/>
      <c r="H391" s="20"/>
    </row>
    <row r="392" spans="1:8" ht="13.2">
      <c r="A392" s="19"/>
      <c r="H392" s="20"/>
    </row>
    <row r="393" spans="1:8" ht="13.2">
      <c r="A393" s="19"/>
      <c r="H393" s="20"/>
    </row>
    <row r="394" spans="1:8" ht="13.2">
      <c r="A394" s="19"/>
      <c r="H394" s="20"/>
    </row>
    <row r="395" spans="1:8" ht="13.2">
      <c r="A395" s="19"/>
      <c r="H395" s="20"/>
    </row>
    <row r="396" spans="1:8" ht="13.2">
      <c r="A396" s="19"/>
      <c r="H396" s="20"/>
    </row>
    <row r="397" spans="1:8" ht="13.2">
      <c r="A397" s="19"/>
      <c r="H397" s="20"/>
    </row>
    <row r="398" spans="1:8" ht="13.2">
      <c r="A398" s="19"/>
      <c r="H398" s="20"/>
    </row>
    <row r="399" spans="1:8" ht="13.2">
      <c r="A399" s="19"/>
      <c r="H399" s="20"/>
    </row>
    <row r="400" spans="1:8" ht="13.2">
      <c r="A400" s="19"/>
      <c r="H400" s="20"/>
    </row>
    <row r="401" spans="1:8" ht="13.2">
      <c r="A401" s="19"/>
      <c r="H401" s="20"/>
    </row>
    <row r="402" spans="1:8" ht="13.2">
      <c r="A402" s="19"/>
      <c r="H402" s="20"/>
    </row>
    <row r="403" spans="1:8" ht="13.2">
      <c r="A403" s="19"/>
      <c r="H403" s="20"/>
    </row>
    <row r="404" spans="1:8" ht="13.2">
      <c r="A404" s="19"/>
      <c r="H404" s="20"/>
    </row>
    <row r="405" spans="1:8" ht="13.2">
      <c r="A405" s="19"/>
      <c r="H405" s="20"/>
    </row>
    <row r="406" spans="1:8" ht="13.2">
      <c r="A406" s="19"/>
      <c r="H406" s="20"/>
    </row>
    <row r="407" spans="1:8" ht="13.2">
      <c r="A407" s="19"/>
      <c r="H407" s="20"/>
    </row>
    <row r="408" spans="1:8" ht="13.2">
      <c r="A408" s="19"/>
      <c r="H408" s="20"/>
    </row>
    <row r="409" spans="1:8" ht="13.2">
      <c r="A409" s="19"/>
      <c r="H409" s="20"/>
    </row>
    <row r="410" spans="1:8" ht="13.2">
      <c r="A410" s="19"/>
      <c r="H410" s="20"/>
    </row>
    <row r="411" spans="1:8" ht="13.2">
      <c r="A411" s="19"/>
      <c r="H411" s="20"/>
    </row>
    <row r="412" spans="1:8" ht="13.2">
      <c r="A412" s="19"/>
      <c r="H412" s="20"/>
    </row>
    <row r="413" spans="1:8" ht="13.2">
      <c r="A413" s="19"/>
      <c r="H413" s="20"/>
    </row>
    <row r="414" spans="1:8" ht="13.2">
      <c r="A414" s="19"/>
      <c r="H414" s="20"/>
    </row>
    <row r="415" spans="1:8" ht="13.2">
      <c r="A415" s="19"/>
      <c r="H415" s="20"/>
    </row>
    <row r="416" spans="1:8" ht="13.2">
      <c r="A416" s="19"/>
      <c r="H416" s="20"/>
    </row>
    <row r="417" spans="1:8" ht="13.2">
      <c r="A417" s="19"/>
      <c r="H417" s="20"/>
    </row>
    <row r="418" spans="1:8" ht="13.2">
      <c r="A418" s="19"/>
      <c r="H418" s="20"/>
    </row>
    <row r="419" spans="1:8" ht="13.2">
      <c r="A419" s="19"/>
      <c r="H419" s="20"/>
    </row>
    <row r="420" spans="1:8" ht="13.2">
      <c r="A420" s="19"/>
      <c r="H420" s="20"/>
    </row>
    <row r="421" spans="1:8" ht="13.2">
      <c r="A421" s="19"/>
      <c r="H421" s="20"/>
    </row>
    <row r="422" spans="1:8" ht="13.2">
      <c r="A422" s="19"/>
      <c r="H422" s="20"/>
    </row>
    <row r="423" spans="1:8" ht="13.2">
      <c r="A423" s="19"/>
      <c r="H423" s="20"/>
    </row>
    <row r="424" spans="1:8" ht="13.2">
      <c r="A424" s="19"/>
      <c r="H424" s="20"/>
    </row>
    <row r="425" spans="1:8" ht="13.2">
      <c r="A425" s="19"/>
      <c r="H425" s="20"/>
    </row>
    <row r="426" spans="1:8" ht="13.2">
      <c r="A426" s="19"/>
      <c r="H426" s="20"/>
    </row>
    <row r="427" spans="1:8" ht="13.2">
      <c r="A427" s="19"/>
      <c r="H427" s="20"/>
    </row>
    <row r="428" spans="1:8" ht="13.2">
      <c r="A428" s="19"/>
      <c r="H428" s="20"/>
    </row>
    <row r="429" spans="1:8" ht="13.2">
      <c r="A429" s="19"/>
      <c r="H429" s="20"/>
    </row>
    <row r="430" spans="1:8" ht="13.2">
      <c r="A430" s="19"/>
      <c r="H430" s="20"/>
    </row>
    <row r="431" spans="1:8" ht="13.2">
      <c r="A431" s="19"/>
      <c r="H431" s="20"/>
    </row>
    <row r="432" spans="1:8" ht="13.2">
      <c r="A432" s="19"/>
      <c r="H432" s="20"/>
    </row>
    <row r="433" spans="1:8" ht="13.2">
      <c r="A433" s="19"/>
      <c r="H433" s="20"/>
    </row>
    <row r="434" spans="1:8" ht="13.2">
      <c r="A434" s="19"/>
      <c r="H434" s="20"/>
    </row>
    <row r="435" spans="1:8" ht="13.2">
      <c r="A435" s="19"/>
      <c r="H435" s="20"/>
    </row>
    <row r="436" spans="1:8" ht="13.2">
      <c r="A436" s="19"/>
      <c r="H436" s="20"/>
    </row>
    <row r="437" spans="1:8" ht="13.2">
      <c r="A437" s="19"/>
      <c r="H437" s="20"/>
    </row>
    <row r="438" spans="1:8" ht="13.2">
      <c r="A438" s="19"/>
      <c r="H438" s="20"/>
    </row>
    <row r="439" spans="1:8" ht="13.2">
      <c r="A439" s="19"/>
      <c r="H439" s="20"/>
    </row>
    <row r="440" spans="1:8" ht="13.2">
      <c r="A440" s="19"/>
      <c r="H440" s="20"/>
    </row>
    <row r="441" spans="1:8" ht="13.2">
      <c r="A441" s="19"/>
      <c r="H441" s="20"/>
    </row>
    <row r="442" spans="1:8" ht="13.2">
      <c r="A442" s="19"/>
      <c r="H442" s="20"/>
    </row>
    <row r="443" spans="1:8" ht="13.2">
      <c r="A443" s="19"/>
      <c r="H443" s="20"/>
    </row>
    <row r="444" spans="1:8" ht="13.2">
      <c r="A444" s="19"/>
      <c r="H444" s="20"/>
    </row>
    <row r="445" spans="1:8" ht="13.2">
      <c r="A445" s="19"/>
      <c r="H445" s="20"/>
    </row>
    <row r="446" spans="1:8" ht="13.2">
      <c r="A446" s="19"/>
      <c r="H446" s="20"/>
    </row>
    <row r="447" spans="1:8" ht="13.2">
      <c r="A447" s="19"/>
      <c r="H447" s="20"/>
    </row>
    <row r="448" spans="1:8" ht="13.2">
      <c r="A448" s="19"/>
      <c r="H448" s="20"/>
    </row>
    <row r="449" spans="1:8" ht="13.2">
      <c r="A449" s="19"/>
      <c r="H449" s="20"/>
    </row>
    <row r="450" spans="1:8" ht="13.2">
      <c r="A450" s="19"/>
      <c r="H450" s="20"/>
    </row>
    <row r="451" spans="1:8" ht="13.2">
      <c r="A451" s="19"/>
      <c r="H451" s="20"/>
    </row>
    <row r="452" spans="1:8" ht="13.2">
      <c r="A452" s="19"/>
      <c r="H452" s="20"/>
    </row>
    <row r="453" spans="1:8" ht="13.2">
      <c r="A453" s="19"/>
      <c r="H453" s="20"/>
    </row>
    <row r="454" spans="1:8" ht="13.2">
      <c r="A454" s="19"/>
      <c r="H454" s="20"/>
    </row>
    <row r="455" spans="1:8" ht="13.2">
      <c r="A455" s="19"/>
      <c r="H455" s="20"/>
    </row>
    <row r="456" spans="1:8" ht="13.2">
      <c r="A456" s="19"/>
      <c r="H456" s="20"/>
    </row>
    <row r="457" spans="1:8" ht="13.2">
      <c r="A457" s="19"/>
      <c r="H457" s="20"/>
    </row>
    <row r="458" spans="1:8" ht="13.2">
      <c r="A458" s="19"/>
      <c r="H458" s="20"/>
    </row>
    <row r="459" spans="1:8" ht="13.2">
      <c r="A459" s="19"/>
      <c r="H459" s="20"/>
    </row>
    <row r="460" spans="1:8" ht="13.2">
      <c r="A460" s="19"/>
      <c r="H460" s="20"/>
    </row>
    <row r="461" spans="1:8" ht="13.2">
      <c r="A461" s="19"/>
      <c r="H461" s="20"/>
    </row>
    <row r="462" spans="1:8" ht="13.2">
      <c r="A462" s="19"/>
      <c r="H462" s="20"/>
    </row>
    <row r="463" spans="1:8" ht="13.2">
      <c r="A463" s="19"/>
      <c r="H463" s="20"/>
    </row>
    <row r="464" spans="1:8" ht="13.2">
      <c r="A464" s="19"/>
      <c r="H464" s="20"/>
    </row>
    <row r="465" spans="1:8" ht="13.2">
      <c r="A465" s="19"/>
      <c r="H465" s="20"/>
    </row>
    <row r="466" spans="1:8" ht="13.2">
      <c r="A466" s="19"/>
      <c r="H466" s="20"/>
    </row>
    <row r="467" spans="1:8" ht="13.2">
      <c r="A467" s="19"/>
      <c r="H467" s="20"/>
    </row>
    <row r="468" spans="1:8" ht="13.2">
      <c r="A468" s="19"/>
      <c r="H468" s="20"/>
    </row>
    <row r="469" spans="1:8" ht="13.2">
      <c r="A469" s="19"/>
      <c r="H469" s="20"/>
    </row>
    <row r="470" spans="1:8" ht="13.2">
      <c r="A470" s="19"/>
      <c r="H470" s="20"/>
    </row>
    <row r="471" spans="1:8" ht="13.2">
      <c r="A471" s="19"/>
      <c r="H471" s="20"/>
    </row>
    <row r="472" spans="1:8" ht="13.2">
      <c r="A472" s="19"/>
      <c r="H472" s="20"/>
    </row>
    <row r="473" spans="1:8" ht="13.2">
      <c r="A473" s="19"/>
      <c r="H473" s="20"/>
    </row>
    <row r="474" spans="1:8" ht="13.2">
      <c r="A474" s="19"/>
      <c r="H474" s="20"/>
    </row>
    <row r="475" spans="1:8" ht="13.2">
      <c r="A475" s="19"/>
      <c r="H475" s="20"/>
    </row>
    <row r="476" spans="1:8" ht="13.2">
      <c r="A476" s="19"/>
      <c r="H476" s="20"/>
    </row>
    <row r="477" spans="1:8" ht="13.2">
      <c r="A477" s="19"/>
      <c r="H477" s="20"/>
    </row>
    <row r="478" spans="1:8" ht="13.2">
      <c r="A478" s="19"/>
      <c r="H478" s="20"/>
    </row>
    <row r="479" spans="1:8" ht="13.2">
      <c r="A479" s="19"/>
      <c r="H479" s="20"/>
    </row>
    <row r="480" spans="1:8" ht="13.2">
      <c r="A480" s="19"/>
      <c r="H480" s="20"/>
    </row>
    <row r="481" spans="1:8" ht="13.2">
      <c r="A481" s="19"/>
      <c r="H481" s="20"/>
    </row>
    <row r="482" spans="1:8" ht="13.2">
      <c r="A482" s="19"/>
      <c r="H482" s="20"/>
    </row>
    <row r="483" spans="1:8" ht="13.2">
      <c r="A483" s="19"/>
      <c r="H483" s="20"/>
    </row>
    <row r="484" spans="1:8" ht="13.2">
      <c r="A484" s="19"/>
      <c r="H484" s="20"/>
    </row>
    <row r="485" spans="1:8" ht="13.2">
      <c r="A485" s="19"/>
      <c r="H485" s="20"/>
    </row>
    <row r="486" spans="1:8" ht="13.2">
      <c r="A486" s="19"/>
      <c r="H486" s="20"/>
    </row>
    <row r="487" spans="1:8" ht="13.2">
      <c r="A487" s="19"/>
      <c r="H487" s="20"/>
    </row>
    <row r="488" spans="1:8" ht="13.2">
      <c r="A488" s="19"/>
      <c r="H488" s="20"/>
    </row>
    <row r="489" spans="1:8" ht="13.2">
      <c r="A489" s="19"/>
      <c r="H489" s="20"/>
    </row>
    <row r="490" spans="1:8" ht="13.2">
      <c r="A490" s="19"/>
      <c r="H490" s="20"/>
    </row>
    <row r="491" spans="1:8" ht="13.2">
      <c r="A491" s="19"/>
      <c r="H491" s="20"/>
    </row>
    <row r="492" spans="1:8" ht="13.2">
      <c r="A492" s="19"/>
      <c r="H492" s="20"/>
    </row>
    <row r="493" spans="1:8" ht="13.2">
      <c r="A493" s="19"/>
      <c r="H493" s="20"/>
    </row>
    <row r="494" spans="1:8" ht="13.2">
      <c r="A494" s="19"/>
      <c r="H494" s="20"/>
    </row>
    <row r="495" spans="1:8" ht="13.2">
      <c r="A495" s="19"/>
      <c r="H495" s="20"/>
    </row>
    <row r="496" spans="1:8" ht="13.2">
      <c r="A496" s="19"/>
      <c r="H496" s="20"/>
    </row>
    <row r="497" spans="1:8" ht="13.2">
      <c r="A497" s="19"/>
      <c r="H497" s="20"/>
    </row>
    <row r="498" spans="1:8" ht="13.2">
      <c r="A498" s="19"/>
      <c r="H498" s="20"/>
    </row>
    <row r="499" spans="1:8" ht="13.2">
      <c r="A499" s="19"/>
      <c r="H499" s="20"/>
    </row>
    <row r="500" spans="1:8" ht="13.2">
      <c r="A500" s="19"/>
      <c r="H500" s="20"/>
    </row>
    <row r="501" spans="1:8" ht="13.2">
      <c r="A501" s="19"/>
      <c r="H501" s="20"/>
    </row>
    <row r="502" spans="1:8" ht="13.2">
      <c r="A502" s="19"/>
      <c r="H502" s="20"/>
    </row>
    <row r="503" spans="1:8" ht="13.2">
      <c r="A503" s="19"/>
      <c r="H503" s="20"/>
    </row>
    <row r="504" spans="1:8" ht="13.2">
      <c r="A504" s="19"/>
      <c r="H504" s="20"/>
    </row>
    <row r="505" spans="1:8" ht="13.2">
      <c r="A505" s="19"/>
      <c r="H505" s="20"/>
    </row>
    <row r="506" spans="1:8" ht="13.2">
      <c r="A506" s="19"/>
      <c r="H506" s="20"/>
    </row>
    <row r="507" spans="1:8" ht="13.2">
      <c r="A507" s="19"/>
      <c r="H507" s="20"/>
    </row>
    <row r="508" spans="1:8" ht="13.2">
      <c r="A508" s="19"/>
      <c r="H508" s="20"/>
    </row>
    <row r="509" spans="1:8" ht="13.2">
      <c r="A509" s="19"/>
      <c r="H509" s="20"/>
    </row>
    <row r="510" spans="1:8" ht="13.2">
      <c r="A510" s="19"/>
      <c r="H510" s="20"/>
    </row>
    <row r="511" spans="1:8" ht="13.2">
      <c r="A511" s="19"/>
      <c r="H511" s="20"/>
    </row>
    <row r="512" spans="1:8" ht="13.2">
      <c r="A512" s="19"/>
      <c r="H512" s="20"/>
    </row>
    <row r="513" spans="1:8" ht="13.2">
      <c r="A513" s="19"/>
      <c r="H513" s="20"/>
    </row>
    <row r="514" spans="1:8" ht="13.2">
      <c r="A514" s="19"/>
      <c r="H514" s="20"/>
    </row>
    <row r="515" spans="1:8" ht="13.2">
      <c r="A515" s="19"/>
      <c r="H515" s="20"/>
    </row>
    <row r="516" spans="1:8" ht="13.2">
      <c r="A516" s="19"/>
      <c r="H516" s="20"/>
    </row>
    <row r="517" spans="1:8" ht="13.2">
      <c r="A517" s="19"/>
      <c r="H517" s="20"/>
    </row>
    <row r="518" spans="1:8" ht="13.2">
      <c r="A518" s="19"/>
      <c r="H518" s="20"/>
    </row>
    <row r="519" spans="1:8" ht="13.2">
      <c r="A519" s="19"/>
      <c r="H519" s="20"/>
    </row>
    <row r="520" spans="1:8" ht="13.2">
      <c r="A520" s="19"/>
      <c r="H520" s="20"/>
    </row>
    <row r="521" spans="1:8" ht="13.2">
      <c r="A521" s="19"/>
      <c r="H521" s="20"/>
    </row>
    <row r="522" spans="1:8" ht="13.2">
      <c r="A522" s="19"/>
      <c r="H522" s="20"/>
    </row>
    <row r="523" spans="1:8" ht="13.2">
      <c r="A523" s="19"/>
      <c r="H523" s="20"/>
    </row>
    <row r="524" spans="1:8" ht="13.2">
      <c r="A524" s="19"/>
      <c r="H524" s="20"/>
    </row>
    <row r="525" spans="1:8" ht="13.2">
      <c r="A525" s="19"/>
      <c r="H525" s="20"/>
    </row>
    <row r="526" spans="1:8" ht="13.2">
      <c r="A526" s="19"/>
      <c r="H526" s="20"/>
    </row>
    <row r="527" spans="1:8" ht="13.2">
      <c r="A527" s="19"/>
      <c r="H527" s="20"/>
    </row>
    <row r="528" spans="1:8" ht="13.2">
      <c r="A528" s="19"/>
      <c r="H528" s="20"/>
    </row>
    <row r="529" spans="1:8" ht="13.2">
      <c r="A529" s="19"/>
      <c r="H529" s="20"/>
    </row>
    <row r="530" spans="1:8" ht="13.2">
      <c r="A530" s="19"/>
      <c r="H530" s="20"/>
    </row>
    <row r="531" spans="1:8" ht="13.2">
      <c r="A531" s="19"/>
      <c r="H531" s="20"/>
    </row>
    <row r="532" spans="1:8" ht="13.2">
      <c r="A532" s="19"/>
      <c r="H532" s="20"/>
    </row>
    <row r="533" spans="1:8" ht="13.2">
      <c r="A533" s="19"/>
      <c r="H533" s="20"/>
    </row>
    <row r="534" spans="1:8" ht="13.2">
      <c r="A534" s="19"/>
      <c r="H534" s="20"/>
    </row>
    <row r="535" spans="1:8" ht="13.2">
      <c r="A535" s="19"/>
      <c r="H535" s="20"/>
    </row>
    <row r="536" spans="1:8" ht="13.2">
      <c r="A536" s="19"/>
      <c r="H536" s="20"/>
    </row>
    <row r="537" spans="1:8" ht="13.2">
      <c r="A537" s="19"/>
      <c r="H537" s="20"/>
    </row>
    <row r="538" spans="1:8" ht="13.2">
      <c r="A538" s="19"/>
      <c r="H538" s="20"/>
    </row>
    <row r="539" spans="1:8" ht="13.2">
      <c r="A539" s="19"/>
      <c r="H539" s="20"/>
    </row>
    <row r="540" spans="1:8" ht="13.2">
      <c r="A540" s="19"/>
      <c r="H540" s="20"/>
    </row>
    <row r="541" spans="1:8" ht="13.2">
      <c r="A541" s="19"/>
      <c r="H541" s="20"/>
    </row>
    <row r="542" spans="1:8" ht="13.2">
      <c r="A542" s="19"/>
      <c r="H542" s="20"/>
    </row>
    <row r="543" spans="1:8" ht="13.2">
      <c r="A543" s="19"/>
      <c r="H543" s="20"/>
    </row>
    <row r="544" spans="1:8" ht="13.2">
      <c r="A544" s="19"/>
      <c r="H544" s="20"/>
    </row>
    <row r="545" spans="1:8" ht="13.2">
      <c r="A545" s="19"/>
      <c r="H545" s="20"/>
    </row>
    <row r="546" spans="1:8" ht="13.2">
      <c r="A546" s="19"/>
      <c r="H546" s="20"/>
    </row>
    <row r="547" spans="1:8" ht="13.2">
      <c r="A547" s="19"/>
      <c r="H547" s="20"/>
    </row>
    <row r="548" spans="1:8" ht="13.2">
      <c r="A548" s="19"/>
      <c r="H548" s="20"/>
    </row>
    <row r="549" spans="1:8" ht="13.2">
      <c r="A549" s="19"/>
      <c r="H549" s="20"/>
    </row>
    <row r="550" spans="1:8" ht="13.2">
      <c r="A550" s="19"/>
      <c r="H550" s="20"/>
    </row>
    <row r="551" spans="1:8" ht="13.2">
      <c r="A551" s="19"/>
      <c r="H551" s="20"/>
    </row>
    <row r="552" spans="1:8" ht="13.2">
      <c r="A552" s="19"/>
      <c r="H552" s="20"/>
    </row>
    <row r="553" spans="1:8" ht="13.2">
      <c r="A553" s="19"/>
      <c r="H553" s="20"/>
    </row>
    <row r="554" spans="1:8" ht="13.2">
      <c r="A554" s="19"/>
      <c r="H554" s="20"/>
    </row>
    <row r="555" spans="1:8" ht="13.2">
      <c r="A555" s="19"/>
      <c r="H555" s="20"/>
    </row>
    <row r="556" spans="1:8" ht="13.2">
      <c r="A556" s="19"/>
      <c r="H556" s="20"/>
    </row>
    <row r="557" spans="1:8" ht="13.2">
      <c r="A557" s="19"/>
      <c r="H557" s="20"/>
    </row>
    <row r="558" spans="1:8" ht="13.2">
      <c r="A558" s="19"/>
      <c r="H558" s="20"/>
    </row>
    <row r="559" spans="1:8" ht="13.2">
      <c r="A559" s="19"/>
      <c r="H559" s="20"/>
    </row>
    <row r="560" spans="1:8" ht="13.2">
      <c r="A560" s="19"/>
      <c r="H560" s="20"/>
    </row>
    <row r="561" spans="1:8" ht="13.2">
      <c r="A561" s="19"/>
      <c r="H561" s="20"/>
    </row>
    <row r="562" spans="1:8" ht="13.2">
      <c r="A562" s="19"/>
      <c r="H562" s="20"/>
    </row>
    <row r="563" spans="1:8" ht="13.2">
      <c r="A563" s="19"/>
      <c r="H563" s="20"/>
    </row>
    <row r="564" spans="1:8" ht="13.2">
      <c r="A564" s="19"/>
      <c r="H564" s="20"/>
    </row>
    <row r="565" spans="1:8" ht="13.2">
      <c r="A565" s="19"/>
      <c r="H565" s="20"/>
    </row>
    <row r="566" spans="1:8" ht="13.2">
      <c r="A566" s="19"/>
      <c r="H566" s="20"/>
    </row>
    <row r="567" spans="1:8" ht="13.2">
      <c r="A567" s="19"/>
      <c r="H567" s="20"/>
    </row>
    <row r="568" spans="1:8" ht="13.2">
      <c r="A568" s="19"/>
      <c r="H568" s="20"/>
    </row>
    <row r="569" spans="1:8" ht="13.2">
      <c r="A569" s="19"/>
      <c r="H569" s="20"/>
    </row>
    <row r="570" spans="1:8" ht="13.2">
      <c r="A570" s="19"/>
      <c r="H570" s="20"/>
    </row>
    <row r="571" spans="1:8" ht="13.2">
      <c r="A571" s="19"/>
      <c r="H571" s="20"/>
    </row>
    <row r="572" spans="1:8" ht="13.2">
      <c r="A572" s="19"/>
      <c r="H572" s="20"/>
    </row>
    <row r="573" spans="1:8" ht="13.2">
      <c r="A573" s="19"/>
      <c r="H573" s="20"/>
    </row>
    <row r="574" spans="1:8" ht="13.2">
      <c r="A574" s="19"/>
      <c r="H574" s="20"/>
    </row>
    <row r="575" spans="1:8" ht="13.2">
      <c r="A575" s="19"/>
      <c r="H575" s="20"/>
    </row>
    <row r="576" spans="1:8" ht="13.2">
      <c r="A576" s="19"/>
      <c r="H576" s="20"/>
    </row>
    <row r="577" spans="1:8" ht="13.2">
      <c r="A577" s="19"/>
      <c r="H577" s="20"/>
    </row>
    <row r="578" spans="1:8" ht="13.2">
      <c r="A578" s="19"/>
      <c r="H578" s="20"/>
    </row>
    <row r="579" spans="1:8" ht="13.2">
      <c r="A579" s="19"/>
      <c r="H579" s="20"/>
    </row>
    <row r="580" spans="1:8" ht="13.2">
      <c r="A580" s="19"/>
      <c r="H580" s="20"/>
    </row>
    <row r="581" spans="1:8" ht="13.2">
      <c r="A581" s="19"/>
      <c r="H581" s="20"/>
    </row>
    <row r="582" spans="1:8" ht="13.2">
      <c r="A582" s="19"/>
      <c r="H582" s="20"/>
    </row>
    <row r="583" spans="1:8" ht="13.2">
      <c r="A583" s="19"/>
      <c r="H583" s="20"/>
    </row>
    <row r="584" spans="1:8" ht="13.2">
      <c r="A584" s="19"/>
      <c r="H584" s="20"/>
    </row>
    <row r="585" spans="1:8" ht="13.2">
      <c r="A585" s="19"/>
      <c r="H585" s="20"/>
    </row>
    <row r="586" spans="1:8" ht="13.2">
      <c r="A586" s="19"/>
      <c r="H586" s="20"/>
    </row>
    <row r="587" spans="1:8" ht="13.2">
      <c r="A587" s="19"/>
      <c r="H587" s="20"/>
    </row>
    <row r="588" spans="1:8" ht="13.2">
      <c r="A588" s="19"/>
      <c r="H588" s="20"/>
    </row>
    <row r="589" spans="1:8" ht="13.2">
      <c r="A589" s="19"/>
      <c r="H589" s="20"/>
    </row>
    <row r="590" spans="1:8" ht="13.2">
      <c r="A590" s="19"/>
      <c r="H590" s="20"/>
    </row>
    <row r="591" spans="1:8" ht="13.2">
      <c r="A591" s="19"/>
      <c r="H591" s="20"/>
    </row>
    <row r="592" spans="1:8" ht="13.2">
      <c r="A592" s="19"/>
      <c r="H592" s="20"/>
    </row>
    <row r="593" spans="1:8" ht="13.2">
      <c r="A593" s="19"/>
      <c r="H593" s="20"/>
    </row>
    <row r="594" spans="1:8" ht="13.2">
      <c r="A594" s="19"/>
      <c r="H594" s="20"/>
    </row>
    <row r="595" spans="1:8" ht="13.2">
      <c r="A595" s="19"/>
      <c r="H595" s="20"/>
    </row>
    <row r="596" spans="1:8" ht="13.2">
      <c r="A596" s="19"/>
      <c r="H596" s="20"/>
    </row>
    <row r="597" spans="1:8" ht="13.2">
      <c r="A597" s="19"/>
      <c r="H597" s="20"/>
    </row>
    <row r="598" spans="1:8" ht="13.2">
      <c r="A598" s="19"/>
      <c r="H598" s="20"/>
    </row>
    <row r="599" spans="1:8" ht="13.2">
      <c r="A599" s="19"/>
      <c r="H599" s="20"/>
    </row>
    <row r="600" spans="1:8" ht="13.2">
      <c r="A600" s="19"/>
      <c r="H600" s="20"/>
    </row>
    <row r="601" spans="1:8" ht="13.2">
      <c r="A601" s="19"/>
      <c r="H601" s="20"/>
    </row>
    <row r="602" spans="1:8" ht="13.2">
      <c r="A602" s="19"/>
      <c r="H602" s="20"/>
    </row>
    <row r="603" spans="1:8" ht="13.2">
      <c r="A603" s="19"/>
      <c r="H603" s="20"/>
    </row>
    <row r="604" spans="1:8" ht="13.2">
      <c r="A604" s="19"/>
      <c r="H604" s="20"/>
    </row>
    <row r="605" spans="1:8" ht="13.2">
      <c r="A605" s="19"/>
      <c r="H605" s="20"/>
    </row>
    <row r="606" spans="1:8" ht="13.2">
      <c r="A606" s="19"/>
      <c r="H606" s="20"/>
    </row>
    <row r="607" spans="1:8" ht="13.2">
      <c r="A607" s="19"/>
      <c r="H607" s="20"/>
    </row>
    <row r="608" spans="1:8" ht="13.2">
      <c r="A608" s="19"/>
      <c r="H608" s="20"/>
    </row>
    <row r="609" spans="1:8" ht="13.2">
      <c r="A609" s="19"/>
      <c r="H609" s="20"/>
    </row>
    <row r="610" spans="1:8" ht="13.2">
      <c r="A610" s="19"/>
      <c r="H610" s="20"/>
    </row>
    <row r="611" spans="1:8" ht="13.2">
      <c r="A611" s="19"/>
      <c r="H611" s="20"/>
    </row>
    <row r="612" spans="1:8" ht="13.2">
      <c r="A612" s="19"/>
      <c r="H612" s="20"/>
    </row>
    <row r="613" spans="1:8" ht="13.2">
      <c r="A613" s="19"/>
      <c r="H613" s="20"/>
    </row>
    <row r="614" spans="1:8" ht="13.2">
      <c r="A614" s="19"/>
      <c r="H614" s="20"/>
    </row>
    <row r="615" spans="1:8" ht="13.2">
      <c r="A615" s="19"/>
      <c r="H615" s="20"/>
    </row>
    <row r="616" spans="1:8" ht="13.2">
      <c r="A616" s="19"/>
      <c r="H616" s="20"/>
    </row>
    <row r="617" spans="1:8" ht="13.2">
      <c r="A617" s="19"/>
      <c r="H617" s="20"/>
    </row>
    <row r="618" spans="1:8" ht="13.2">
      <c r="A618" s="19"/>
      <c r="H618" s="20"/>
    </row>
    <row r="619" spans="1:8" ht="13.2">
      <c r="A619" s="19"/>
      <c r="H619" s="20"/>
    </row>
    <row r="620" spans="1:8" ht="13.2">
      <c r="A620" s="19"/>
      <c r="H620" s="20"/>
    </row>
    <row r="621" spans="1:8" ht="13.2">
      <c r="A621" s="19"/>
      <c r="H621" s="20"/>
    </row>
    <row r="622" spans="1:8" ht="13.2">
      <c r="A622" s="19"/>
      <c r="H622" s="20"/>
    </row>
    <row r="623" spans="1:8" ht="13.2">
      <c r="A623" s="19"/>
      <c r="H623" s="20"/>
    </row>
    <row r="624" spans="1:8" ht="13.2">
      <c r="A624" s="19"/>
      <c r="H624" s="20"/>
    </row>
    <row r="625" spans="1:8" ht="13.2">
      <c r="A625" s="19"/>
      <c r="H625" s="20"/>
    </row>
    <row r="626" spans="1:8" ht="13.2">
      <c r="A626" s="19"/>
      <c r="H626" s="20"/>
    </row>
    <row r="627" spans="1:8" ht="13.2">
      <c r="A627" s="19"/>
      <c r="H627" s="20"/>
    </row>
    <row r="628" spans="1:8" ht="13.2">
      <c r="A628" s="19"/>
      <c r="H628" s="20"/>
    </row>
    <row r="629" spans="1:8" ht="13.2">
      <c r="A629" s="19"/>
      <c r="H629" s="20"/>
    </row>
    <row r="630" spans="1:8" ht="13.2">
      <c r="A630" s="19"/>
      <c r="H630" s="20"/>
    </row>
    <row r="631" spans="1:8" ht="13.2">
      <c r="A631" s="19"/>
      <c r="H631" s="20"/>
    </row>
    <row r="632" spans="1:8" ht="13.2">
      <c r="A632" s="19"/>
      <c r="H632" s="20"/>
    </row>
    <row r="633" spans="1:8" ht="13.2">
      <c r="A633" s="19"/>
      <c r="H633" s="20"/>
    </row>
    <row r="634" spans="1:8" ht="13.2">
      <c r="A634" s="19"/>
      <c r="H634" s="20"/>
    </row>
    <row r="635" spans="1:8" ht="13.2">
      <c r="A635" s="19"/>
      <c r="H635" s="20"/>
    </row>
    <row r="636" spans="1:8" ht="13.2">
      <c r="A636" s="19"/>
      <c r="H636" s="20"/>
    </row>
    <row r="637" spans="1:8" ht="13.2">
      <c r="A637" s="19"/>
      <c r="H637" s="20"/>
    </row>
    <row r="638" spans="1:8" ht="13.2">
      <c r="A638" s="19"/>
      <c r="H638" s="20"/>
    </row>
    <row r="639" spans="1:8" ht="13.2">
      <c r="A639" s="19"/>
      <c r="H639" s="20"/>
    </row>
    <row r="640" spans="1:8" ht="13.2">
      <c r="A640" s="19"/>
      <c r="H640" s="20"/>
    </row>
    <row r="641" spans="1:8" ht="13.2">
      <c r="A641" s="19"/>
      <c r="H641" s="20"/>
    </row>
    <row r="642" spans="1:8" ht="13.2">
      <c r="A642" s="19"/>
      <c r="H642" s="20"/>
    </row>
    <row r="643" spans="1:8" ht="13.2">
      <c r="A643" s="19"/>
      <c r="H643" s="20"/>
    </row>
    <row r="644" spans="1:8" ht="13.2">
      <c r="A644" s="19"/>
      <c r="H644" s="20"/>
    </row>
    <row r="645" spans="1:8" ht="13.2">
      <c r="A645" s="19"/>
      <c r="H645" s="20"/>
    </row>
    <row r="646" spans="1:8" ht="13.2">
      <c r="A646" s="19"/>
      <c r="H646" s="20"/>
    </row>
    <row r="647" spans="1:8" ht="13.2">
      <c r="A647" s="19"/>
      <c r="H647" s="20"/>
    </row>
    <row r="648" spans="1:8" ht="13.2">
      <c r="A648" s="19"/>
      <c r="H648" s="20"/>
    </row>
    <row r="649" spans="1:8" ht="13.2">
      <c r="A649" s="19"/>
      <c r="H649" s="20"/>
    </row>
    <row r="650" spans="1:8" ht="13.2">
      <c r="A650" s="19"/>
      <c r="H650" s="20"/>
    </row>
    <row r="651" spans="1:8" ht="13.2">
      <c r="A651" s="19"/>
      <c r="H651" s="20"/>
    </row>
    <row r="652" spans="1:8" ht="13.2">
      <c r="A652" s="19"/>
      <c r="H652" s="20"/>
    </row>
    <row r="653" spans="1:8" ht="13.2">
      <c r="A653" s="19"/>
      <c r="H653" s="20"/>
    </row>
    <row r="654" spans="1:8" ht="13.2">
      <c r="A654" s="19"/>
      <c r="H654" s="20"/>
    </row>
    <row r="655" spans="1:8" ht="13.2">
      <c r="A655" s="19"/>
      <c r="H655" s="20"/>
    </row>
    <row r="656" spans="1:8" ht="13.2">
      <c r="A656" s="19"/>
      <c r="H656" s="20"/>
    </row>
    <row r="657" spans="1:8" ht="13.2">
      <c r="A657" s="19"/>
      <c r="H657" s="20"/>
    </row>
    <row r="658" spans="1:8" ht="13.2">
      <c r="A658" s="19"/>
      <c r="H658" s="20"/>
    </row>
    <row r="659" spans="1:8" ht="13.2">
      <c r="A659" s="19"/>
      <c r="H659" s="20"/>
    </row>
    <row r="660" spans="1:8" ht="13.2">
      <c r="A660" s="19"/>
      <c r="H660" s="20"/>
    </row>
    <row r="661" spans="1:8" ht="13.2">
      <c r="A661" s="19"/>
      <c r="H661" s="20"/>
    </row>
    <row r="662" spans="1:8" ht="13.2">
      <c r="A662" s="19"/>
      <c r="H662" s="20"/>
    </row>
    <row r="663" spans="1:8" ht="13.2">
      <c r="A663" s="19"/>
      <c r="H663" s="20"/>
    </row>
    <row r="664" spans="1:8" ht="13.2">
      <c r="A664" s="19"/>
      <c r="H664" s="20"/>
    </row>
    <row r="665" spans="1:8" ht="13.2">
      <c r="A665" s="19"/>
      <c r="H665" s="20"/>
    </row>
    <row r="666" spans="1:8" ht="13.2">
      <c r="A666" s="19"/>
      <c r="H666" s="20"/>
    </row>
    <row r="667" spans="1:8" ht="13.2">
      <c r="A667" s="19"/>
      <c r="H667" s="20"/>
    </row>
    <row r="668" spans="1:8" ht="13.2">
      <c r="A668" s="19"/>
      <c r="H668" s="20"/>
    </row>
    <row r="669" spans="1:8" ht="13.2">
      <c r="A669" s="19"/>
      <c r="H669" s="20"/>
    </row>
    <row r="670" spans="1:8" ht="13.2">
      <c r="A670" s="19"/>
      <c r="H670" s="20"/>
    </row>
    <row r="671" spans="1:8" ht="13.2">
      <c r="A671" s="19"/>
      <c r="H671" s="20"/>
    </row>
    <row r="672" spans="1:8" ht="13.2">
      <c r="A672" s="19"/>
      <c r="H672" s="20"/>
    </row>
    <row r="673" spans="1:8" ht="13.2">
      <c r="A673" s="19"/>
      <c r="H673" s="20"/>
    </row>
    <row r="674" spans="1:8" ht="13.2">
      <c r="A674" s="19"/>
      <c r="H674" s="20"/>
    </row>
    <row r="675" spans="1:8" ht="13.2">
      <c r="A675" s="19"/>
      <c r="H675" s="20"/>
    </row>
    <row r="676" spans="1:8" ht="13.2">
      <c r="A676" s="19"/>
      <c r="H676" s="20"/>
    </row>
    <row r="677" spans="1:8" ht="13.2">
      <c r="A677" s="19"/>
      <c r="H677" s="20"/>
    </row>
    <row r="678" spans="1:8" ht="13.2">
      <c r="A678" s="19"/>
      <c r="H678" s="20"/>
    </row>
    <row r="679" spans="1:8" ht="13.2">
      <c r="A679" s="19"/>
      <c r="H679" s="20"/>
    </row>
    <row r="680" spans="1:8" ht="13.2">
      <c r="A680" s="19"/>
      <c r="H680" s="20"/>
    </row>
    <row r="681" spans="1:8" ht="13.2">
      <c r="A681" s="19"/>
      <c r="H681" s="20"/>
    </row>
    <row r="682" spans="1:8" ht="13.2">
      <c r="A682" s="19"/>
      <c r="H682" s="20"/>
    </row>
    <row r="683" spans="1:8" ht="13.2">
      <c r="A683" s="19"/>
      <c r="H683" s="20"/>
    </row>
    <row r="684" spans="1:8" ht="13.2">
      <c r="A684" s="19"/>
      <c r="H684" s="20"/>
    </row>
    <row r="685" spans="1:8" ht="13.2">
      <c r="A685" s="19"/>
      <c r="H685" s="20"/>
    </row>
    <row r="686" spans="1:8" ht="13.2">
      <c r="A686" s="19"/>
      <c r="H686" s="20"/>
    </row>
    <row r="687" spans="1:8" ht="13.2">
      <c r="A687" s="19"/>
      <c r="H687" s="20"/>
    </row>
    <row r="688" spans="1:8" ht="13.2">
      <c r="A688" s="19"/>
      <c r="H688" s="20"/>
    </row>
    <row r="689" spans="1:8" ht="13.2">
      <c r="A689" s="19"/>
      <c r="H689" s="20"/>
    </row>
    <row r="690" spans="1:8" ht="13.2">
      <c r="A690" s="19"/>
      <c r="H690" s="20"/>
    </row>
    <row r="691" spans="1:8" ht="13.2">
      <c r="A691" s="19"/>
      <c r="H691" s="20"/>
    </row>
    <row r="692" spans="1:8" ht="13.2">
      <c r="A692" s="19"/>
      <c r="H692" s="20"/>
    </row>
    <row r="693" spans="1:8" ht="13.2">
      <c r="A693" s="19"/>
      <c r="H693" s="20"/>
    </row>
    <row r="694" spans="1:8" ht="13.2">
      <c r="A694" s="19"/>
      <c r="H694" s="20"/>
    </row>
    <row r="695" spans="1:8" ht="13.2">
      <c r="A695" s="19"/>
      <c r="H695" s="20"/>
    </row>
    <row r="696" spans="1:8" ht="13.2">
      <c r="A696" s="19"/>
      <c r="H696" s="20"/>
    </row>
    <row r="697" spans="1:8" ht="13.2">
      <c r="A697" s="19"/>
      <c r="H697" s="20"/>
    </row>
    <row r="698" spans="1:8" ht="13.2">
      <c r="A698" s="19"/>
      <c r="H698" s="20"/>
    </row>
    <row r="699" spans="1:8" ht="13.2">
      <c r="A699" s="19"/>
      <c r="H699" s="20"/>
    </row>
    <row r="700" spans="1:8" ht="13.2">
      <c r="A700" s="19"/>
      <c r="H700" s="20"/>
    </row>
    <row r="701" spans="1:8" ht="13.2">
      <c r="A701" s="19"/>
      <c r="H701" s="20"/>
    </row>
    <row r="702" spans="1:8" ht="13.2">
      <c r="A702" s="19"/>
      <c r="H702" s="20"/>
    </row>
    <row r="703" spans="1:8" ht="13.2">
      <c r="A703" s="19"/>
      <c r="H703" s="20"/>
    </row>
    <row r="704" spans="1:8" ht="13.2">
      <c r="A704" s="19"/>
      <c r="H704" s="20"/>
    </row>
    <row r="705" spans="1:8" ht="13.2">
      <c r="A705" s="19"/>
      <c r="H705" s="20"/>
    </row>
    <row r="706" spans="1:8" ht="13.2">
      <c r="A706" s="19"/>
      <c r="H706" s="20"/>
    </row>
    <row r="707" spans="1:8" ht="13.2">
      <c r="A707" s="19"/>
      <c r="H707" s="20"/>
    </row>
    <row r="708" spans="1:8" ht="13.2">
      <c r="A708" s="19"/>
      <c r="H708" s="20"/>
    </row>
    <row r="709" spans="1:8" ht="13.2">
      <c r="A709" s="19"/>
      <c r="H709" s="20"/>
    </row>
    <row r="710" spans="1:8" ht="13.2">
      <c r="A710" s="19"/>
      <c r="H710" s="20"/>
    </row>
    <row r="711" spans="1:8" ht="13.2">
      <c r="A711" s="19"/>
      <c r="H711" s="20"/>
    </row>
    <row r="712" spans="1:8" ht="13.2">
      <c r="A712" s="19"/>
      <c r="H712" s="20"/>
    </row>
    <row r="713" spans="1:8" ht="13.2">
      <c r="A713" s="19"/>
      <c r="H713" s="20"/>
    </row>
    <row r="714" spans="1:8" ht="13.2">
      <c r="A714" s="19"/>
      <c r="H714" s="20"/>
    </row>
    <row r="715" spans="1:8" ht="13.2">
      <c r="A715" s="19"/>
      <c r="H715" s="20"/>
    </row>
    <row r="716" spans="1:8" ht="13.2">
      <c r="A716" s="19"/>
      <c r="H716" s="20"/>
    </row>
    <row r="717" spans="1:8" ht="13.2">
      <c r="A717" s="19"/>
      <c r="H717" s="20"/>
    </row>
    <row r="718" spans="1:8" ht="13.2">
      <c r="A718" s="19"/>
      <c r="H718" s="20"/>
    </row>
    <row r="719" spans="1:8" ht="13.2">
      <c r="A719" s="19"/>
      <c r="H719" s="20"/>
    </row>
    <row r="720" spans="1:8" ht="13.2">
      <c r="A720" s="19"/>
      <c r="H720" s="20"/>
    </row>
    <row r="721" spans="1:8" ht="13.2">
      <c r="A721" s="19"/>
      <c r="H721" s="20"/>
    </row>
    <row r="722" spans="1:8" ht="13.2">
      <c r="A722" s="19"/>
      <c r="H722" s="20"/>
    </row>
    <row r="723" spans="1:8" ht="13.2">
      <c r="A723" s="19"/>
      <c r="H723" s="20"/>
    </row>
    <row r="724" spans="1:8" ht="13.2">
      <c r="A724" s="19"/>
      <c r="H724" s="20"/>
    </row>
    <row r="725" spans="1:8" ht="13.2">
      <c r="A725" s="19"/>
      <c r="H725" s="20"/>
    </row>
    <row r="726" spans="1:8" ht="13.2">
      <c r="A726" s="19"/>
      <c r="H726" s="20"/>
    </row>
    <row r="727" spans="1:8" ht="13.2">
      <c r="A727" s="19"/>
      <c r="H727" s="20"/>
    </row>
    <row r="728" spans="1:8" ht="13.2">
      <c r="A728" s="19"/>
      <c r="H728" s="20"/>
    </row>
    <row r="729" spans="1:8" ht="13.2">
      <c r="A729" s="19"/>
      <c r="H729" s="20"/>
    </row>
    <row r="730" spans="1:8" ht="13.2">
      <c r="A730" s="19"/>
      <c r="H730" s="20"/>
    </row>
    <row r="731" spans="1:8" ht="13.2">
      <c r="A731" s="19"/>
      <c r="H731" s="20"/>
    </row>
    <row r="732" spans="1:8" ht="13.2">
      <c r="A732" s="19"/>
      <c r="H732" s="20"/>
    </row>
    <row r="733" spans="1:8" ht="13.2">
      <c r="A733" s="19"/>
      <c r="H733" s="20"/>
    </row>
    <row r="734" spans="1:8" ht="13.2">
      <c r="A734" s="19"/>
      <c r="H734" s="20"/>
    </row>
    <row r="735" spans="1:8" ht="13.2">
      <c r="A735" s="19"/>
      <c r="H735" s="20"/>
    </row>
    <row r="736" spans="1:8" ht="13.2">
      <c r="A736" s="19"/>
      <c r="H736" s="20"/>
    </row>
    <row r="737" spans="1:8" ht="13.2">
      <c r="A737" s="19"/>
      <c r="H737" s="20"/>
    </row>
    <row r="738" spans="1:8" ht="13.2">
      <c r="A738" s="19"/>
      <c r="H738" s="20"/>
    </row>
    <row r="739" spans="1:8" ht="13.2">
      <c r="A739" s="19"/>
      <c r="H739" s="20"/>
    </row>
    <row r="740" spans="1:8" ht="13.2">
      <c r="A740" s="19"/>
      <c r="H740" s="20"/>
    </row>
    <row r="741" spans="1:8" ht="13.2">
      <c r="A741" s="19"/>
      <c r="H741" s="20"/>
    </row>
    <row r="742" spans="1:8" ht="13.2">
      <c r="A742" s="19"/>
      <c r="H742" s="20"/>
    </row>
    <row r="743" spans="1:8" ht="13.2">
      <c r="A743" s="19"/>
      <c r="H743" s="20"/>
    </row>
    <row r="744" spans="1:8" ht="13.2">
      <c r="A744" s="19"/>
      <c r="H744" s="20"/>
    </row>
    <row r="745" spans="1:8" ht="13.2">
      <c r="A745" s="19"/>
      <c r="H745" s="20"/>
    </row>
    <row r="746" spans="1:8" ht="13.2">
      <c r="A746" s="19"/>
      <c r="H746" s="20"/>
    </row>
    <row r="747" spans="1:8" ht="13.2">
      <c r="A747" s="19"/>
      <c r="H747" s="20"/>
    </row>
    <row r="748" spans="1:8" ht="13.2">
      <c r="A748" s="19"/>
      <c r="H748" s="20"/>
    </row>
    <row r="749" spans="1:8" ht="13.2">
      <c r="A749" s="19"/>
      <c r="H749" s="20"/>
    </row>
    <row r="750" spans="1:8" ht="13.2">
      <c r="A750" s="19"/>
      <c r="H750" s="20"/>
    </row>
    <row r="751" spans="1:8" ht="13.2">
      <c r="A751" s="19"/>
      <c r="H751" s="20"/>
    </row>
    <row r="752" spans="1:8" ht="13.2">
      <c r="A752" s="19"/>
      <c r="H752" s="20"/>
    </row>
    <row r="753" spans="1:8" ht="13.2">
      <c r="A753" s="19"/>
      <c r="H753" s="20"/>
    </row>
    <row r="754" spans="1:8" ht="13.2">
      <c r="A754" s="19"/>
      <c r="H754" s="20"/>
    </row>
    <row r="755" spans="1:8" ht="13.2">
      <c r="A755" s="19"/>
      <c r="H755" s="20"/>
    </row>
    <row r="756" spans="1:8" ht="13.2">
      <c r="A756" s="19"/>
      <c r="H756" s="20"/>
    </row>
    <row r="757" spans="1:8" ht="13.2">
      <c r="A757" s="19"/>
      <c r="H757" s="20"/>
    </row>
    <row r="758" spans="1:8" ht="13.2">
      <c r="A758" s="19"/>
      <c r="H758" s="20"/>
    </row>
    <row r="759" spans="1:8" ht="13.2">
      <c r="A759" s="19"/>
      <c r="H759" s="20"/>
    </row>
    <row r="760" spans="1:8" ht="13.2">
      <c r="A760" s="19"/>
      <c r="H760" s="20"/>
    </row>
    <row r="761" spans="1:8" ht="13.2">
      <c r="A761" s="19"/>
      <c r="H761" s="20"/>
    </row>
    <row r="762" spans="1:8" ht="13.2">
      <c r="A762" s="19"/>
      <c r="H762" s="20"/>
    </row>
    <row r="763" spans="1:8" ht="13.2">
      <c r="A763" s="19"/>
      <c r="H763" s="20"/>
    </row>
    <row r="764" spans="1:8" ht="13.2">
      <c r="A764" s="19"/>
      <c r="H764" s="20"/>
    </row>
    <row r="765" spans="1:8" ht="13.2">
      <c r="A765" s="19"/>
      <c r="H765" s="20"/>
    </row>
    <row r="766" spans="1:8" ht="13.2">
      <c r="A766" s="19"/>
      <c r="H766" s="20"/>
    </row>
    <row r="767" spans="1:8" ht="13.2">
      <c r="A767" s="19"/>
      <c r="H767" s="20"/>
    </row>
    <row r="768" spans="1:8" ht="13.2">
      <c r="A768" s="19"/>
      <c r="H768" s="20"/>
    </row>
    <row r="769" spans="1:8" ht="13.2">
      <c r="A769" s="19"/>
      <c r="H769" s="20"/>
    </row>
    <row r="770" spans="1:8" ht="13.2">
      <c r="A770" s="19"/>
      <c r="H770" s="20"/>
    </row>
    <row r="771" spans="1:8" ht="13.2">
      <c r="A771" s="19"/>
      <c r="H771" s="20"/>
    </row>
    <row r="772" spans="1:8" ht="13.2">
      <c r="A772" s="19"/>
      <c r="H772" s="20"/>
    </row>
    <row r="773" spans="1:8" ht="13.2">
      <c r="A773" s="19"/>
      <c r="H773" s="20"/>
    </row>
    <row r="774" spans="1:8" ht="13.2">
      <c r="A774" s="19"/>
      <c r="H774" s="20"/>
    </row>
    <row r="775" spans="1:8" ht="13.2">
      <c r="A775" s="19"/>
      <c r="H775" s="20"/>
    </row>
    <row r="776" spans="1:8" ht="13.2">
      <c r="A776" s="19"/>
      <c r="H776" s="20"/>
    </row>
    <row r="777" spans="1:8" ht="13.2">
      <c r="A777" s="19"/>
      <c r="H777" s="20"/>
    </row>
    <row r="778" spans="1:8" ht="13.2">
      <c r="A778" s="19"/>
      <c r="H778" s="20"/>
    </row>
    <row r="779" spans="1:8" ht="13.2">
      <c r="A779" s="19"/>
      <c r="H779" s="20"/>
    </row>
    <row r="780" spans="1:8" ht="13.2">
      <c r="A780" s="19"/>
      <c r="H780" s="20"/>
    </row>
    <row r="781" spans="1:8" ht="13.2">
      <c r="A781" s="19"/>
      <c r="H781" s="20"/>
    </row>
    <row r="782" spans="1:8" ht="13.2">
      <c r="A782" s="19"/>
      <c r="H782" s="20"/>
    </row>
    <row r="783" spans="1:8" ht="13.2">
      <c r="A783" s="19"/>
      <c r="H783" s="20"/>
    </row>
    <row r="784" spans="1:8" ht="13.2">
      <c r="A784" s="19"/>
      <c r="H784" s="20"/>
    </row>
    <row r="785" spans="1:8" ht="13.2">
      <c r="A785" s="19"/>
      <c r="H785" s="20"/>
    </row>
    <row r="786" spans="1:8" ht="13.2">
      <c r="A786" s="19"/>
      <c r="H786" s="20"/>
    </row>
    <row r="787" spans="1:8" ht="13.2">
      <c r="A787" s="19"/>
      <c r="H787" s="20"/>
    </row>
    <row r="788" spans="1:8" ht="13.2">
      <c r="A788" s="19"/>
      <c r="H788" s="20"/>
    </row>
    <row r="789" spans="1:8" ht="13.2">
      <c r="A789" s="19"/>
      <c r="H789" s="20"/>
    </row>
    <row r="790" spans="1:8" ht="13.2">
      <c r="A790" s="19"/>
      <c r="H790" s="20"/>
    </row>
    <row r="791" spans="1:8" ht="13.2">
      <c r="A791" s="19"/>
      <c r="H791" s="20"/>
    </row>
    <row r="792" spans="1:8" ht="13.2">
      <c r="A792" s="19"/>
      <c r="H792" s="20"/>
    </row>
    <row r="793" spans="1:8" ht="13.2">
      <c r="A793" s="19"/>
      <c r="H793" s="20"/>
    </row>
    <row r="794" spans="1:8" ht="13.2">
      <c r="A794" s="19"/>
      <c r="H794" s="20"/>
    </row>
    <row r="795" spans="1:8" ht="13.2">
      <c r="A795" s="19"/>
      <c r="H795" s="20"/>
    </row>
    <row r="796" spans="1:8" ht="13.2">
      <c r="A796" s="19"/>
      <c r="H796" s="20"/>
    </row>
    <row r="797" spans="1:8" ht="13.2">
      <c r="A797" s="19"/>
      <c r="H797" s="20"/>
    </row>
    <row r="798" spans="1:8" ht="13.2">
      <c r="A798" s="19"/>
      <c r="H798" s="20"/>
    </row>
    <row r="799" spans="1:8" ht="13.2">
      <c r="A799" s="19"/>
      <c r="H799" s="20"/>
    </row>
    <row r="800" spans="1:8" ht="13.2">
      <c r="A800" s="19"/>
      <c r="H800" s="20"/>
    </row>
    <row r="801" spans="1:8" ht="13.2">
      <c r="A801" s="19"/>
      <c r="H801" s="20"/>
    </row>
    <row r="802" spans="1:8" ht="13.2">
      <c r="A802" s="19"/>
      <c r="H802" s="20"/>
    </row>
    <row r="803" spans="1:8" ht="13.2">
      <c r="A803" s="19"/>
      <c r="H803" s="20"/>
    </row>
    <row r="804" spans="1:8" ht="13.2">
      <c r="A804" s="19"/>
      <c r="H804" s="20"/>
    </row>
    <row r="805" spans="1:8" ht="13.2">
      <c r="A805" s="19"/>
      <c r="H805" s="20"/>
    </row>
    <row r="806" spans="1:8" ht="13.2">
      <c r="A806" s="19"/>
      <c r="H806" s="20"/>
    </row>
    <row r="807" spans="1:8" ht="13.2">
      <c r="A807" s="19"/>
      <c r="H807" s="20"/>
    </row>
    <row r="808" spans="1:8" ht="13.2">
      <c r="A808" s="19"/>
      <c r="H808" s="20"/>
    </row>
    <row r="809" spans="1:8" ht="13.2">
      <c r="A809" s="19"/>
      <c r="H809" s="20"/>
    </row>
    <row r="810" spans="1:8" ht="13.2">
      <c r="A810" s="19"/>
      <c r="H810" s="20"/>
    </row>
    <row r="811" spans="1:8" ht="13.2">
      <c r="A811" s="19"/>
      <c r="H811" s="20"/>
    </row>
    <row r="812" spans="1:8" ht="13.2">
      <c r="A812" s="19"/>
      <c r="H812" s="20"/>
    </row>
    <row r="813" spans="1:8" ht="13.2">
      <c r="A813" s="19"/>
      <c r="H813" s="20"/>
    </row>
    <row r="814" spans="1:8" ht="13.2">
      <c r="A814" s="19"/>
      <c r="H814" s="20"/>
    </row>
    <row r="815" spans="1:8" ht="13.2">
      <c r="A815" s="19"/>
      <c r="H815" s="20"/>
    </row>
    <row r="816" spans="1:8" ht="13.2">
      <c r="A816" s="19"/>
      <c r="H816" s="20"/>
    </row>
    <row r="817" spans="1:8" ht="13.2">
      <c r="A817" s="19"/>
      <c r="H817" s="20"/>
    </row>
    <row r="818" spans="1:8" ht="13.2">
      <c r="A818" s="19"/>
      <c r="H818" s="20"/>
    </row>
    <row r="819" spans="1:8" ht="13.2">
      <c r="A819" s="19"/>
      <c r="H819" s="20"/>
    </row>
    <row r="820" spans="1:8" ht="13.2">
      <c r="A820" s="19"/>
      <c r="H820" s="20"/>
    </row>
    <row r="821" spans="1:8" ht="13.2">
      <c r="A821" s="19"/>
      <c r="H821" s="20"/>
    </row>
    <row r="822" spans="1:8" ht="13.2">
      <c r="A822" s="19"/>
      <c r="H822" s="20"/>
    </row>
    <row r="823" spans="1:8" ht="13.2">
      <c r="A823" s="19"/>
      <c r="H823" s="20"/>
    </row>
    <row r="824" spans="1:8" ht="13.2">
      <c r="A824" s="19"/>
      <c r="H824" s="20"/>
    </row>
    <row r="825" spans="1:8" ht="13.2">
      <c r="A825" s="19"/>
      <c r="H825" s="20"/>
    </row>
    <row r="826" spans="1:8" ht="13.2">
      <c r="A826" s="19"/>
      <c r="H826" s="20"/>
    </row>
    <row r="827" spans="1:8" ht="13.2">
      <c r="A827" s="19"/>
      <c r="H827" s="20"/>
    </row>
    <row r="828" spans="1:8" ht="13.2">
      <c r="A828" s="19"/>
      <c r="H828" s="20"/>
    </row>
    <row r="829" spans="1:8" ht="13.2">
      <c r="A829" s="19"/>
      <c r="H829" s="20"/>
    </row>
    <row r="830" spans="1:8" ht="13.2">
      <c r="A830" s="19"/>
      <c r="H830" s="20"/>
    </row>
    <row r="831" spans="1:8" ht="13.2">
      <c r="A831" s="19"/>
      <c r="H831" s="20"/>
    </row>
    <row r="832" spans="1:8" ht="13.2">
      <c r="A832" s="19"/>
      <c r="H832" s="20"/>
    </row>
    <row r="833" spans="1:8" ht="13.2">
      <c r="A833" s="19"/>
      <c r="H833" s="20"/>
    </row>
    <row r="834" spans="1:8" ht="13.2">
      <c r="A834" s="19"/>
      <c r="H834" s="20"/>
    </row>
    <row r="835" spans="1:8" ht="13.2">
      <c r="A835" s="19"/>
      <c r="H835" s="20"/>
    </row>
    <row r="836" spans="1:8" ht="13.2">
      <c r="A836" s="19"/>
      <c r="H836" s="20"/>
    </row>
    <row r="837" spans="1:8" ht="13.2">
      <c r="A837" s="19"/>
      <c r="H837" s="20"/>
    </row>
    <row r="838" spans="1:8" ht="13.2">
      <c r="A838" s="19"/>
      <c r="H838" s="20"/>
    </row>
    <row r="839" spans="1:8" ht="13.2">
      <c r="A839" s="19"/>
      <c r="H839" s="20"/>
    </row>
    <row r="840" spans="1:8" ht="13.2">
      <c r="A840" s="19"/>
      <c r="H840" s="20"/>
    </row>
    <row r="841" spans="1:8" ht="13.2">
      <c r="A841" s="19"/>
      <c r="H841" s="20"/>
    </row>
    <row r="842" spans="1:8" ht="13.2">
      <c r="A842" s="19"/>
      <c r="H842" s="20"/>
    </row>
    <row r="843" spans="1:8" ht="13.2">
      <c r="A843" s="19"/>
      <c r="H843" s="20"/>
    </row>
    <row r="844" spans="1:8" ht="13.2">
      <c r="A844" s="19"/>
      <c r="H844" s="20"/>
    </row>
    <row r="845" spans="1:8" ht="13.2">
      <c r="A845" s="19"/>
      <c r="H845" s="20"/>
    </row>
    <row r="846" spans="1:8" ht="13.2">
      <c r="A846" s="19"/>
      <c r="H846" s="20"/>
    </row>
    <row r="847" spans="1:8" ht="13.2">
      <c r="A847" s="19"/>
      <c r="H847" s="20"/>
    </row>
    <row r="848" spans="1:8" ht="13.2">
      <c r="A848" s="19"/>
      <c r="H848" s="20"/>
    </row>
    <row r="849" spans="1:8" ht="13.2">
      <c r="A849" s="19"/>
      <c r="H849" s="20"/>
    </row>
    <row r="850" spans="1:8" ht="13.2">
      <c r="A850" s="19"/>
      <c r="H850" s="20"/>
    </row>
    <row r="851" spans="1:8" ht="13.2">
      <c r="A851" s="19"/>
      <c r="H851" s="20"/>
    </row>
    <row r="852" spans="1:8" ht="13.2">
      <c r="A852" s="19"/>
      <c r="H852" s="20"/>
    </row>
    <row r="853" spans="1:8" ht="13.2">
      <c r="A853" s="19"/>
      <c r="H853" s="20"/>
    </row>
    <row r="854" spans="1:8" ht="13.2">
      <c r="A854" s="19"/>
      <c r="H854" s="20"/>
    </row>
    <row r="855" spans="1:8" ht="13.2">
      <c r="A855" s="19"/>
      <c r="H855" s="20"/>
    </row>
    <row r="856" spans="1:8" ht="13.2">
      <c r="A856" s="19"/>
      <c r="H856" s="20"/>
    </row>
    <row r="857" spans="1:8" ht="13.2">
      <c r="A857" s="19"/>
      <c r="H857" s="20"/>
    </row>
    <row r="858" spans="1:8" ht="13.2">
      <c r="A858" s="19"/>
      <c r="H858" s="20"/>
    </row>
    <row r="859" spans="1:8" ht="13.2">
      <c r="A859" s="19"/>
      <c r="H859" s="20"/>
    </row>
    <row r="860" spans="1:8" ht="13.2">
      <c r="A860" s="19"/>
      <c r="H860" s="20"/>
    </row>
    <row r="861" spans="1:8" ht="13.2">
      <c r="A861" s="19"/>
      <c r="H861" s="20"/>
    </row>
    <row r="862" spans="1:8" ht="13.2">
      <c r="A862" s="19"/>
      <c r="H862" s="20"/>
    </row>
    <row r="863" spans="1:8" ht="13.2">
      <c r="A863" s="19"/>
      <c r="H863" s="20"/>
    </row>
    <row r="864" spans="1:8" ht="13.2">
      <c r="A864" s="19"/>
      <c r="H864" s="20"/>
    </row>
    <row r="865" spans="1:8" ht="13.2">
      <c r="A865" s="19"/>
      <c r="H865" s="20"/>
    </row>
    <row r="866" spans="1:8" ht="13.2">
      <c r="A866" s="19"/>
      <c r="H866" s="20"/>
    </row>
    <row r="867" spans="1:8" ht="13.2">
      <c r="A867" s="19"/>
      <c r="H867" s="20"/>
    </row>
    <row r="868" spans="1:8" ht="13.2">
      <c r="A868" s="19"/>
      <c r="H868" s="20"/>
    </row>
    <row r="869" spans="1:8" ht="13.2">
      <c r="A869" s="19"/>
      <c r="H869" s="20"/>
    </row>
    <row r="870" spans="1:8" ht="13.2">
      <c r="A870" s="19"/>
      <c r="H870" s="20"/>
    </row>
    <row r="871" spans="1:8" ht="13.2">
      <c r="A871" s="19"/>
      <c r="H871" s="20"/>
    </row>
    <row r="872" spans="1:8" ht="13.2">
      <c r="A872" s="19"/>
      <c r="H872" s="20"/>
    </row>
    <row r="873" spans="1:8" ht="13.2">
      <c r="A873" s="19"/>
      <c r="H873" s="20"/>
    </row>
    <row r="874" spans="1:8" ht="13.2">
      <c r="A874" s="19"/>
      <c r="H874" s="20"/>
    </row>
    <row r="875" spans="1:8" ht="13.2">
      <c r="A875" s="19"/>
      <c r="H875" s="20"/>
    </row>
    <row r="876" spans="1:8" ht="13.2">
      <c r="A876" s="19"/>
      <c r="H876" s="20"/>
    </row>
    <row r="877" spans="1:8" ht="13.2">
      <c r="A877" s="19"/>
      <c r="H877" s="20"/>
    </row>
    <row r="878" spans="1:8" ht="13.2">
      <c r="A878" s="19"/>
      <c r="H878" s="20"/>
    </row>
    <row r="879" spans="1:8" ht="13.2">
      <c r="A879" s="19"/>
      <c r="H879" s="20"/>
    </row>
    <row r="880" spans="1:8" ht="13.2">
      <c r="A880" s="19"/>
      <c r="H880" s="20"/>
    </row>
    <row r="881" spans="1:8" ht="13.2">
      <c r="A881" s="19"/>
      <c r="H881" s="20"/>
    </row>
    <row r="882" spans="1:8" ht="13.2">
      <c r="A882" s="19"/>
      <c r="H882" s="20"/>
    </row>
    <row r="883" spans="1:8" ht="13.2">
      <c r="A883" s="19"/>
      <c r="H883" s="20"/>
    </row>
    <row r="884" spans="1:8" ht="13.2">
      <c r="A884" s="19"/>
      <c r="H884" s="20"/>
    </row>
    <row r="885" spans="1:8" ht="13.2">
      <c r="A885" s="19"/>
      <c r="H885" s="20"/>
    </row>
    <row r="886" spans="1:8" ht="13.2">
      <c r="A886" s="19"/>
      <c r="H886" s="20"/>
    </row>
    <row r="887" spans="1:8" ht="13.2">
      <c r="A887" s="19"/>
      <c r="H887" s="20"/>
    </row>
    <row r="888" spans="1:8" ht="13.2">
      <c r="A888" s="19"/>
      <c r="H888" s="20"/>
    </row>
    <row r="889" spans="1:8" ht="13.2">
      <c r="A889" s="19"/>
      <c r="H889" s="20"/>
    </row>
    <row r="890" spans="1:8" ht="13.2">
      <c r="A890" s="19"/>
      <c r="H890" s="20"/>
    </row>
    <row r="891" spans="1:8" ht="13.2">
      <c r="A891" s="19"/>
      <c r="H891" s="20"/>
    </row>
    <row r="892" spans="1:8" ht="13.2">
      <c r="A892" s="19"/>
      <c r="H892" s="20"/>
    </row>
    <row r="893" spans="1:8" ht="13.2">
      <c r="A893" s="19"/>
      <c r="H893" s="20"/>
    </row>
    <row r="894" spans="1:8" ht="13.2">
      <c r="A894" s="19"/>
      <c r="H894" s="20"/>
    </row>
    <row r="895" spans="1:8" ht="13.2">
      <c r="A895" s="19"/>
      <c r="H895" s="20"/>
    </row>
    <row r="896" spans="1:8" ht="13.2">
      <c r="A896" s="19"/>
      <c r="H896" s="20"/>
    </row>
    <row r="897" spans="1:8" ht="13.2">
      <c r="A897" s="19"/>
      <c r="H897" s="20"/>
    </row>
    <row r="898" spans="1:8" ht="13.2">
      <c r="A898" s="19"/>
      <c r="H898" s="20"/>
    </row>
    <row r="899" spans="1:8" ht="13.2">
      <c r="A899" s="19"/>
      <c r="H899" s="20"/>
    </row>
    <row r="900" spans="1:8" ht="13.2">
      <c r="A900" s="19"/>
      <c r="H900" s="20"/>
    </row>
    <row r="901" spans="1:8" ht="13.2">
      <c r="A901" s="19"/>
      <c r="H901" s="20"/>
    </row>
    <row r="902" spans="1:8" ht="13.2">
      <c r="A902" s="19"/>
      <c r="H902" s="20"/>
    </row>
    <row r="903" spans="1:8" ht="13.2">
      <c r="A903" s="19"/>
      <c r="H903" s="20"/>
    </row>
    <row r="904" spans="1:8" ht="13.2">
      <c r="A904" s="19"/>
      <c r="H904" s="20"/>
    </row>
    <row r="905" spans="1:8" ht="13.2">
      <c r="A905" s="19"/>
      <c r="H905" s="20"/>
    </row>
    <row r="906" spans="1:8" ht="13.2">
      <c r="A906" s="19"/>
      <c r="H906" s="20"/>
    </row>
    <row r="907" spans="1:8" ht="13.2">
      <c r="A907" s="19"/>
      <c r="H907" s="20"/>
    </row>
    <row r="908" spans="1:8" ht="13.2">
      <c r="A908" s="19"/>
      <c r="H908" s="20"/>
    </row>
    <row r="909" spans="1:8" ht="13.2">
      <c r="A909" s="19"/>
      <c r="H909" s="20"/>
    </row>
    <row r="910" spans="1:8" ht="13.2">
      <c r="A910" s="19"/>
      <c r="H910" s="20"/>
    </row>
    <row r="911" spans="1:8" ht="13.2">
      <c r="A911" s="19"/>
      <c r="H911" s="20"/>
    </row>
    <row r="912" spans="1:8" ht="13.2">
      <c r="A912" s="19"/>
      <c r="H912" s="20"/>
    </row>
    <row r="913" spans="1:8" ht="13.2">
      <c r="A913" s="19"/>
      <c r="H913" s="20"/>
    </row>
    <row r="914" spans="1:8" ht="13.2">
      <c r="A914" s="19"/>
      <c r="H914" s="20"/>
    </row>
    <row r="915" spans="1:8" ht="13.2">
      <c r="A915" s="19"/>
      <c r="H915" s="20"/>
    </row>
    <row r="916" spans="1:8" ht="13.2">
      <c r="A916" s="19"/>
      <c r="H916" s="20"/>
    </row>
    <row r="917" spans="1:8" ht="13.2">
      <c r="A917" s="19"/>
      <c r="H917" s="20"/>
    </row>
    <row r="918" spans="1:8" ht="13.2">
      <c r="A918" s="19"/>
      <c r="H918" s="20"/>
    </row>
    <row r="919" spans="1:8" ht="13.2">
      <c r="A919" s="19"/>
      <c r="H919" s="20"/>
    </row>
    <row r="920" spans="1:8" ht="13.2">
      <c r="A920" s="19"/>
      <c r="H920" s="20"/>
    </row>
    <row r="921" spans="1:8" ht="13.2">
      <c r="A921" s="19"/>
      <c r="H921" s="20"/>
    </row>
    <row r="922" spans="1:8" ht="13.2">
      <c r="A922" s="19"/>
      <c r="H922" s="20"/>
    </row>
    <row r="923" spans="1:8" ht="13.2">
      <c r="A923" s="19"/>
      <c r="H923" s="20"/>
    </row>
    <row r="924" spans="1:8" ht="13.2">
      <c r="A924" s="19"/>
      <c r="H924" s="20"/>
    </row>
    <row r="925" spans="1:8" ht="13.2">
      <c r="A925" s="19"/>
      <c r="H925" s="20"/>
    </row>
    <row r="926" spans="1:8" ht="13.2">
      <c r="A926" s="19"/>
      <c r="H926" s="20"/>
    </row>
    <row r="927" spans="1:8" ht="13.2">
      <c r="A927" s="19"/>
      <c r="H927" s="20"/>
    </row>
    <row r="928" spans="1:8" ht="13.2">
      <c r="A928" s="19"/>
      <c r="H928" s="20"/>
    </row>
    <row r="929" spans="1:8" ht="13.2">
      <c r="A929" s="19"/>
      <c r="H929" s="20"/>
    </row>
    <row r="930" spans="1:8" ht="13.2">
      <c r="A930" s="19"/>
      <c r="H930" s="20"/>
    </row>
    <row r="931" spans="1:8" ht="13.2">
      <c r="A931" s="19"/>
      <c r="H931" s="20"/>
    </row>
    <row r="932" spans="1:8" ht="13.2">
      <c r="A932" s="19"/>
      <c r="H932" s="20"/>
    </row>
    <row r="933" spans="1:8" ht="13.2">
      <c r="A933" s="19"/>
      <c r="H933" s="20"/>
    </row>
    <row r="934" spans="1:8" ht="13.2">
      <c r="A934" s="19"/>
      <c r="H934" s="20"/>
    </row>
    <row r="935" spans="1:8" ht="13.2">
      <c r="A935" s="19"/>
      <c r="H935" s="20"/>
    </row>
    <row r="936" spans="1:8" ht="13.2">
      <c r="A936" s="19"/>
      <c r="H936" s="20"/>
    </row>
    <row r="937" spans="1:8" ht="13.2">
      <c r="A937" s="19"/>
      <c r="H937" s="20"/>
    </row>
    <row r="938" spans="1:8" ht="13.2">
      <c r="A938" s="19"/>
      <c r="H938" s="20"/>
    </row>
    <row r="939" spans="1:8" ht="13.2">
      <c r="A939" s="19"/>
      <c r="H939" s="20"/>
    </row>
    <row r="940" spans="1:8" ht="13.2">
      <c r="A940" s="19"/>
      <c r="H940" s="20"/>
    </row>
    <row r="941" spans="1:8" ht="13.2">
      <c r="A941" s="19"/>
      <c r="H941" s="20"/>
    </row>
    <row r="942" spans="1:8" ht="13.2">
      <c r="A942" s="19"/>
      <c r="H942" s="20"/>
    </row>
    <row r="943" spans="1:8" ht="13.2">
      <c r="A943" s="19"/>
      <c r="H943" s="20"/>
    </row>
    <row r="944" spans="1:8" ht="13.2">
      <c r="A944" s="19"/>
      <c r="H944" s="20"/>
    </row>
    <row r="945" spans="1:8" ht="13.2">
      <c r="A945" s="19"/>
      <c r="H945" s="20"/>
    </row>
    <row r="946" spans="1:8" ht="13.2">
      <c r="A946" s="19"/>
      <c r="H946" s="20"/>
    </row>
    <row r="947" spans="1:8" ht="13.2">
      <c r="A947" s="19"/>
      <c r="H947" s="20"/>
    </row>
    <row r="948" spans="1:8" ht="13.2">
      <c r="A948" s="19"/>
      <c r="H948" s="20"/>
    </row>
    <row r="949" spans="1:8" ht="13.2">
      <c r="A949" s="19"/>
      <c r="H949" s="20"/>
    </row>
    <row r="950" spans="1:8" ht="13.2">
      <c r="A950" s="19"/>
      <c r="H950" s="20"/>
    </row>
    <row r="951" spans="1:8" ht="13.2">
      <c r="A951" s="19"/>
      <c r="H951" s="20"/>
    </row>
    <row r="952" spans="1:8" ht="13.2">
      <c r="A952" s="19"/>
      <c r="H952" s="20"/>
    </row>
    <row r="953" spans="1:8" ht="13.2">
      <c r="A953" s="19"/>
      <c r="H953" s="20"/>
    </row>
    <row r="954" spans="1:8" ht="13.2">
      <c r="A954" s="19"/>
      <c r="H954" s="20"/>
    </row>
    <row r="955" spans="1:8" ht="13.2">
      <c r="A955" s="19"/>
      <c r="H955" s="20"/>
    </row>
    <row r="956" spans="1:8" ht="13.2">
      <c r="A956" s="19"/>
      <c r="H956" s="20"/>
    </row>
    <row r="957" spans="1:8" ht="13.2">
      <c r="A957" s="19"/>
      <c r="H957" s="20"/>
    </row>
    <row r="958" spans="1:8" ht="13.2">
      <c r="A958" s="19"/>
      <c r="H958" s="20"/>
    </row>
    <row r="959" spans="1:8" ht="13.2">
      <c r="A959" s="19"/>
      <c r="H959" s="20"/>
    </row>
    <row r="960" spans="1:8" ht="13.2">
      <c r="A960" s="19"/>
      <c r="H960" s="20"/>
    </row>
    <row r="961" spans="1:8" ht="13.2">
      <c r="A961" s="19"/>
      <c r="H961" s="20"/>
    </row>
    <row r="962" spans="1:8" ht="13.2">
      <c r="A962" s="19"/>
      <c r="H962" s="20"/>
    </row>
    <row r="963" spans="1:8" ht="13.2">
      <c r="A963" s="19"/>
      <c r="H963" s="20"/>
    </row>
    <row r="964" spans="1:8" ht="13.2">
      <c r="A964" s="19"/>
      <c r="H964" s="20"/>
    </row>
    <row r="965" spans="1:8" ht="13.2">
      <c r="A965" s="19"/>
      <c r="H965" s="20"/>
    </row>
    <row r="966" spans="1:8" ht="13.2">
      <c r="A966" s="19"/>
      <c r="H966" s="20"/>
    </row>
    <row r="967" spans="1:8" ht="13.2">
      <c r="A967" s="19"/>
      <c r="H967" s="20"/>
    </row>
    <row r="968" spans="1:8" ht="13.2">
      <c r="A968" s="19"/>
      <c r="H968" s="20"/>
    </row>
    <row r="969" spans="1:8" ht="13.2">
      <c r="A969" s="19"/>
      <c r="H969" s="20"/>
    </row>
    <row r="970" spans="1:8" ht="13.2">
      <c r="A970" s="19"/>
      <c r="H970" s="20"/>
    </row>
    <row r="971" spans="1:8" ht="13.2">
      <c r="A971" s="19"/>
      <c r="H971" s="20"/>
    </row>
    <row r="972" spans="1:8" ht="13.2">
      <c r="A972" s="19"/>
      <c r="H972" s="20"/>
    </row>
    <row r="973" spans="1:8" ht="13.2">
      <c r="A973" s="19"/>
      <c r="H973" s="20"/>
    </row>
    <row r="974" spans="1:8" ht="13.2">
      <c r="A974" s="19"/>
      <c r="H974" s="20"/>
    </row>
    <row r="975" spans="1:8" ht="13.2">
      <c r="A975" s="19"/>
      <c r="H975" s="20"/>
    </row>
    <row r="976" spans="1:8" ht="13.2">
      <c r="A976" s="19"/>
      <c r="H976" s="20"/>
    </row>
    <row r="977" spans="1:8" ht="13.2">
      <c r="A977" s="19"/>
      <c r="H977" s="20"/>
    </row>
    <row r="978" spans="1:8" ht="13.2">
      <c r="A978" s="19"/>
      <c r="H978" s="20"/>
    </row>
    <row r="979" spans="1:8" ht="13.2">
      <c r="A979" s="19"/>
      <c r="H979" s="20"/>
    </row>
    <row r="980" spans="1:8" ht="13.2">
      <c r="A980" s="19"/>
      <c r="H980" s="20"/>
    </row>
    <row r="981" spans="1:8" ht="13.2">
      <c r="A981" s="19"/>
      <c r="H981" s="20"/>
    </row>
    <row r="982" spans="1:8" ht="13.2">
      <c r="A982" s="19"/>
      <c r="H982" s="20"/>
    </row>
    <row r="983" spans="1:8" ht="13.2">
      <c r="A983" s="19"/>
      <c r="H983" s="20"/>
    </row>
    <row r="984" spans="1:8" ht="13.2">
      <c r="A984" s="19"/>
      <c r="H984" s="20"/>
    </row>
    <row r="985" spans="1:8" ht="13.2">
      <c r="A985" s="19"/>
      <c r="H985" s="20"/>
    </row>
    <row r="986" spans="1:8" ht="13.2">
      <c r="A986" s="19"/>
      <c r="H986" s="20"/>
    </row>
    <row r="987" spans="1:8" ht="13.2">
      <c r="A987" s="19"/>
      <c r="H987" s="20"/>
    </row>
    <row r="988" spans="1:8" ht="13.2">
      <c r="A988" s="19"/>
      <c r="H988" s="20"/>
    </row>
    <row r="989" spans="1:8" ht="13.2">
      <c r="A989" s="19"/>
      <c r="H989" s="20"/>
    </row>
    <row r="990" spans="1:8" ht="13.2">
      <c r="A990" s="19"/>
      <c r="H990" s="20"/>
    </row>
    <row r="991" spans="1:8" ht="13.2">
      <c r="A991" s="19"/>
      <c r="H991" s="20"/>
    </row>
    <row r="992" spans="1:8" ht="13.2">
      <c r="A992" s="19"/>
      <c r="H992" s="20"/>
    </row>
    <row r="993" spans="1:8" ht="13.2">
      <c r="A993" s="19"/>
      <c r="H993" s="20"/>
    </row>
    <row r="994" spans="1:8" ht="13.2">
      <c r="A994" s="19"/>
      <c r="H994" s="20"/>
    </row>
    <row r="995" spans="1:8" ht="13.2">
      <c r="A995" s="19"/>
      <c r="H995" s="20"/>
    </row>
    <row r="996" spans="1:8" ht="13.2">
      <c r="A996" s="19"/>
      <c r="H996" s="20"/>
    </row>
    <row r="997" spans="1:8" ht="13.2">
      <c r="A997" s="19"/>
      <c r="H997" s="20"/>
    </row>
    <row r="998" spans="1:8" ht="13.2">
      <c r="H998" s="20"/>
    </row>
  </sheetData>
  <sortState xmlns:xlrd2="http://schemas.microsoft.com/office/spreadsheetml/2017/richdata2" ref="A2:N998">
    <sortCondition ref="B1:B998"/>
  </sortState>
  <dataValidations count="1">
    <dataValidation type="list" allowBlank="1" showErrorMessage="1" sqref="M2:M46" xr:uid="{00000000-0002-0000-0100-000000000000}">
      <formula1>"Icon,Premium,Rising,Impact,Captain"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8DA56-65DE-433E-AAA5-2EB74DB1F929}">
  <dimension ref="A1:AA44"/>
  <sheetViews>
    <sheetView tabSelected="1" topLeftCell="A35" workbookViewId="0">
      <selection sqref="A1:Q37"/>
    </sheetView>
  </sheetViews>
  <sheetFormatPr defaultRowHeight="13.2"/>
  <cols>
    <col min="2" max="2" width="13.77734375" customWidth="1"/>
    <col min="13" max="13" width="8.21875" bestFit="1" customWidth="1"/>
    <col min="14" max="14" width="10.6640625" bestFit="1" customWidth="1"/>
  </cols>
  <sheetData>
    <row r="1" spans="1:17" ht="40.200000000000003" thickBot="1">
      <c r="A1" s="27" t="s">
        <v>144</v>
      </c>
      <c r="B1" s="27" t="s">
        <v>1</v>
      </c>
      <c r="C1" s="27" t="s">
        <v>145</v>
      </c>
      <c r="D1" s="27" t="s">
        <v>146</v>
      </c>
      <c r="E1" s="27" t="s">
        <v>147</v>
      </c>
      <c r="F1" s="27" t="s">
        <v>148</v>
      </c>
      <c r="G1" s="27" t="s">
        <v>149</v>
      </c>
      <c r="H1" s="27" t="s">
        <v>150</v>
      </c>
      <c r="I1" s="27" t="s">
        <v>151</v>
      </c>
      <c r="J1" s="27" t="s">
        <v>152</v>
      </c>
      <c r="K1" s="27" t="s">
        <v>206</v>
      </c>
      <c r="L1" s="27" t="s">
        <v>154</v>
      </c>
      <c r="M1" s="27" t="s">
        <v>13</v>
      </c>
      <c r="N1" s="27" t="s">
        <v>155</v>
      </c>
      <c r="O1" s="27" t="s">
        <v>3</v>
      </c>
      <c r="P1" s="27" t="s">
        <v>4</v>
      </c>
      <c r="Q1" s="37" t="s">
        <v>203</v>
      </c>
    </row>
    <row r="2" spans="1:17" ht="40.200000000000003" thickBot="1">
      <c r="A2" s="29">
        <v>40256787</v>
      </c>
      <c r="B2" s="28" t="s">
        <v>202</v>
      </c>
      <c r="C2" s="29">
        <v>9</v>
      </c>
      <c r="D2" s="29">
        <v>4</v>
      </c>
      <c r="E2" s="29">
        <v>38</v>
      </c>
      <c r="F2" s="29">
        <v>9.5</v>
      </c>
      <c r="G2" s="29">
        <v>165.22</v>
      </c>
      <c r="H2" s="29">
        <v>21</v>
      </c>
      <c r="I2" s="29">
        <v>2</v>
      </c>
      <c r="J2" s="29">
        <v>11.29</v>
      </c>
      <c r="K2" s="29">
        <v>2</v>
      </c>
      <c r="L2" s="30" t="s">
        <v>207</v>
      </c>
      <c r="M2" s="28" t="s">
        <v>45</v>
      </c>
      <c r="N2" s="32">
        <v>2000000</v>
      </c>
      <c r="O2" s="28" t="s">
        <v>19</v>
      </c>
      <c r="P2" s="28" t="s">
        <v>20</v>
      </c>
      <c r="Q2" s="28" t="s">
        <v>205</v>
      </c>
    </row>
    <row r="3" spans="1:17" ht="27" thickBot="1">
      <c r="A3" s="29">
        <v>3336901</v>
      </c>
      <c r="B3" s="28" t="s">
        <v>142</v>
      </c>
      <c r="C3" s="29">
        <v>62</v>
      </c>
      <c r="D3" s="29">
        <v>50</v>
      </c>
      <c r="E3" s="29">
        <v>665</v>
      </c>
      <c r="F3" s="29">
        <v>16.63</v>
      </c>
      <c r="G3" s="29">
        <v>98.37</v>
      </c>
      <c r="H3" s="29" t="s">
        <v>193</v>
      </c>
      <c r="I3" s="29">
        <v>61</v>
      </c>
      <c r="J3" s="29">
        <v>9.4700000000000006</v>
      </c>
      <c r="K3" s="29">
        <v>17</v>
      </c>
      <c r="L3" s="30" t="s">
        <v>207</v>
      </c>
      <c r="M3" s="28" t="s">
        <v>40</v>
      </c>
      <c r="N3" s="32">
        <v>20000000</v>
      </c>
      <c r="O3" s="28" t="s">
        <v>114</v>
      </c>
      <c r="P3" s="28" t="s">
        <v>20</v>
      </c>
      <c r="Q3" s="38" t="s">
        <v>204</v>
      </c>
    </row>
    <row r="4" spans="1:17" ht="40.200000000000003" thickBot="1">
      <c r="A4" s="29">
        <v>12060387</v>
      </c>
      <c r="B4" s="28" t="s">
        <v>175</v>
      </c>
      <c r="C4" s="29">
        <v>143</v>
      </c>
      <c r="D4" s="29">
        <v>122</v>
      </c>
      <c r="E4" s="29">
        <v>1943</v>
      </c>
      <c r="F4" s="29">
        <v>23.13</v>
      </c>
      <c r="G4" s="29">
        <v>172.86</v>
      </c>
      <c r="H4" s="29" t="s">
        <v>176</v>
      </c>
      <c r="I4" s="29">
        <v>83</v>
      </c>
      <c r="J4" s="29">
        <v>9.81</v>
      </c>
      <c r="K4" s="29">
        <v>95</v>
      </c>
      <c r="L4" s="30" t="s">
        <v>207</v>
      </c>
      <c r="M4" s="28" t="s">
        <v>40</v>
      </c>
      <c r="N4" s="32">
        <v>20000000</v>
      </c>
      <c r="O4" s="28" t="s">
        <v>19</v>
      </c>
      <c r="P4" s="28" t="s">
        <v>20</v>
      </c>
      <c r="Q4" s="38" t="s">
        <v>204</v>
      </c>
    </row>
    <row r="5" spans="1:17" ht="40.200000000000003" thickBot="1">
      <c r="A5" s="29">
        <v>10984703</v>
      </c>
      <c r="B5" s="28" t="s">
        <v>26</v>
      </c>
      <c r="C5" s="29">
        <v>48</v>
      </c>
      <c r="D5" s="29">
        <v>40</v>
      </c>
      <c r="E5" s="29">
        <v>498</v>
      </c>
      <c r="F5" s="29">
        <v>16.059999999999999</v>
      </c>
      <c r="G5" s="29">
        <v>172.92</v>
      </c>
      <c r="H5" s="29" t="s">
        <v>182</v>
      </c>
      <c r="I5" s="29">
        <v>26</v>
      </c>
      <c r="J5" s="29">
        <v>11.25</v>
      </c>
      <c r="K5" s="29">
        <v>15</v>
      </c>
      <c r="L5" s="30" t="s">
        <v>207</v>
      </c>
      <c r="M5" s="28" t="s">
        <v>50</v>
      </c>
      <c r="N5" s="32">
        <v>10000000</v>
      </c>
      <c r="O5" s="28" t="s">
        <v>19</v>
      </c>
      <c r="P5" s="28" t="s">
        <v>20</v>
      </c>
      <c r="Q5" s="38" t="s">
        <v>204</v>
      </c>
    </row>
    <row r="6" spans="1:17" ht="40.200000000000003" thickBot="1">
      <c r="A6" s="29">
        <v>34507530</v>
      </c>
      <c r="B6" s="28" t="s">
        <v>188</v>
      </c>
      <c r="C6" s="29">
        <v>164</v>
      </c>
      <c r="D6" s="29">
        <v>96</v>
      </c>
      <c r="E6" s="29">
        <v>757</v>
      </c>
      <c r="F6" s="29">
        <v>12.02</v>
      </c>
      <c r="G6" s="29">
        <v>152.93</v>
      </c>
      <c r="H6" s="29" t="s">
        <v>163</v>
      </c>
      <c r="I6" s="29">
        <v>57</v>
      </c>
      <c r="J6" s="29">
        <v>11.8</v>
      </c>
      <c r="K6" s="29">
        <v>36</v>
      </c>
      <c r="L6" s="30" t="s">
        <v>207</v>
      </c>
      <c r="M6" s="28" t="s">
        <v>25</v>
      </c>
      <c r="N6" s="32">
        <v>5000000</v>
      </c>
      <c r="O6" s="28" t="s">
        <v>19</v>
      </c>
      <c r="P6" s="28" t="s">
        <v>20</v>
      </c>
      <c r="Q6" s="28" t="s">
        <v>42</v>
      </c>
    </row>
    <row r="7" spans="1:17" ht="40.200000000000003" thickBot="1">
      <c r="A7" s="29">
        <v>42627107</v>
      </c>
      <c r="B7" s="28" t="s">
        <v>110</v>
      </c>
      <c r="C7" s="29">
        <v>126</v>
      </c>
      <c r="D7" s="29">
        <v>55</v>
      </c>
      <c r="E7" s="29">
        <v>407</v>
      </c>
      <c r="F7" s="29">
        <v>10.71</v>
      </c>
      <c r="G7" s="29">
        <v>123.71</v>
      </c>
      <c r="H7" s="29">
        <v>49</v>
      </c>
      <c r="I7" s="29">
        <v>61</v>
      </c>
      <c r="J7" s="29">
        <v>10.72</v>
      </c>
      <c r="K7" s="29">
        <v>37</v>
      </c>
      <c r="L7" s="30" t="s">
        <v>207</v>
      </c>
      <c r="M7" s="28" t="s">
        <v>25</v>
      </c>
      <c r="N7" s="32">
        <v>5000000</v>
      </c>
      <c r="O7" s="28" t="s">
        <v>19</v>
      </c>
      <c r="P7" s="28" t="s">
        <v>20</v>
      </c>
      <c r="Q7" s="28" t="s">
        <v>42</v>
      </c>
    </row>
    <row r="8" spans="1:17" ht="40.200000000000003" thickBot="1">
      <c r="A8" s="29">
        <v>33918878</v>
      </c>
      <c r="B8" s="28" t="s">
        <v>156</v>
      </c>
      <c r="C8" s="29">
        <v>16</v>
      </c>
      <c r="D8" s="29">
        <v>12</v>
      </c>
      <c r="E8" s="29">
        <v>162</v>
      </c>
      <c r="F8" s="29">
        <v>16.2</v>
      </c>
      <c r="G8" s="29">
        <v>186.21</v>
      </c>
      <c r="H8" s="29" t="s">
        <v>157</v>
      </c>
      <c r="I8" s="29">
        <v>4</v>
      </c>
      <c r="J8" s="29">
        <v>14.5</v>
      </c>
      <c r="K8" s="29">
        <v>13</v>
      </c>
      <c r="L8" s="30" t="s">
        <v>207</v>
      </c>
      <c r="M8" s="28" t="s">
        <v>50</v>
      </c>
      <c r="N8" s="32">
        <v>10000000</v>
      </c>
      <c r="O8" s="28" t="s">
        <v>19</v>
      </c>
      <c r="P8" s="28" t="s">
        <v>20</v>
      </c>
      <c r="Q8" s="28" t="s">
        <v>42</v>
      </c>
    </row>
    <row r="9" spans="1:17" ht="40.200000000000003" thickBot="1">
      <c r="A9" s="29">
        <v>11077697</v>
      </c>
      <c r="B9" s="28" t="s">
        <v>56</v>
      </c>
      <c r="C9" s="29">
        <v>46</v>
      </c>
      <c r="D9" s="29">
        <v>40</v>
      </c>
      <c r="E9" s="29">
        <v>507</v>
      </c>
      <c r="F9" s="29">
        <v>18.78</v>
      </c>
      <c r="G9" s="29">
        <v>169</v>
      </c>
      <c r="H9" s="29">
        <v>60</v>
      </c>
      <c r="I9" s="29">
        <v>20</v>
      </c>
      <c r="J9" s="29">
        <v>9.2899999999999991</v>
      </c>
      <c r="K9" s="29">
        <v>25</v>
      </c>
      <c r="L9" s="30" t="s">
        <v>207</v>
      </c>
      <c r="M9" s="28" t="s">
        <v>50</v>
      </c>
      <c r="N9" s="32">
        <v>10000000</v>
      </c>
      <c r="O9" s="28" t="s">
        <v>19</v>
      </c>
      <c r="P9" s="28" t="s">
        <v>20</v>
      </c>
      <c r="Q9" s="28" t="s">
        <v>42</v>
      </c>
    </row>
    <row r="10" spans="1:17" ht="40.200000000000003" thickBot="1">
      <c r="A10" s="29">
        <v>43016896</v>
      </c>
      <c r="B10" s="28" t="s">
        <v>48</v>
      </c>
      <c r="C10" s="29">
        <v>63</v>
      </c>
      <c r="D10" s="29">
        <v>42</v>
      </c>
      <c r="E10" s="29">
        <v>488</v>
      </c>
      <c r="F10" s="29">
        <v>14.35</v>
      </c>
      <c r="G10" s="29">
        <v>162.66999999999999</v>
      </c>
      <c r="H10" s="29" t="s">
        <v>163</v>
      </c>
      <c r="I10" s="29">
        <v>35</v>
      </c>
      <c r="J10" s="29">
        <v>7.92</v>
      </c>
      <c r="K10" s="29">
        <v>35</v>
      </c>
      <c r="L10" s="30" t="s">
        <v>207</v>
      </c>
      <c r="M10" s="28" t="s">
        <v>50</v>
      </c>
      <c r="N10" s="32">
        <v>10000000</v>
      </c>
      <c r="O10" s="28" t="s">
        <v>19</v>
      </c>
      <c r="P10" s="28" t="s">
        <v>20</v>
      </c>
      <c r="Q10" s="38" t="s">
        <v>204</v>
      </c>
    </row>
    <row r="11" spans="1:17" ht="40.200000000000003" thickBot="1">
      <c r="A11" s="29">
        <v>19685723</v>
      </c>
      <c r="B11" s="28" t="s">
        <v>158</v>
      </c>
      <c r="C11" s="29">
        <v>113</v>
      </c>
      <c r="D11" s="29">
        <v>75</v>
      </c>
      <c r="E11" s="29">
        <v>589</v>
      </c>
      <c r="F11" s="29">
        <v>10.91</v>
      </c>
      <c r="G11" s="29">
        <v>130.88999999999999</v>
      </c>
      <c r="H11" s="29">
        <v>37</v>
      </c>
      <c r="I11" s="29">
        <v>47</v>
      </c>
      <c r="J11" s="29">
        <v>12.07</v>
      </c>
      <c r="K11" s="29">
        <v>23</v>
      </c>
      <c r="L11" s="30" t="s">
        <v>207</v>
      </c>
      <c r="M11" s="28" t="s">
        <v>25</v>
      </c>
      <c r="N11" s="32">
        <v>5000000</v>
      </c>
      <c r="O11" s="28" t="s">
        <v>19</v>
      </c>
      <c r="P11" s="28" t="s">
        <v>20</v>
      </c>
      <c r="Q11" s="38" t="s">
        <v>204</v>
      </c>
    </row>
    <row r="12" spans="1:17" ht="40.200000000000003" thickBot="1">
      <c r="A12" s="29">
        <v>44521368</v>
      </c>
      <c r="B12" s="28" t="s">
        <v>184</v>
      </c>
      <c r="C12" s="28"/>
      <c r="D12" s="28"/>
      <c r="E12" s="28"/>
      <c r="F12" s="28"/>
      <c r="G12" s="28"/>
      <c r="H12" s="28"/>
      <c r="I12" s="28"/>
      <c r="J12" s="28"/>
      <c r="K12" s="29">
        <v>0</v>
      </c>
      <c r="L12" s="30" t="s">
        <v>207</v>
      </c>
      <c r="M12" s="28" t="s">
        <v>45</v>
      </c>
      <c r="N12" s="32">
        <v>2000000</v>
      </c>
      <c r="O12" s="28" t="s">
        <v>19</v>
      </c>
      <c r="P12" s="28" t="s">
        <v>20</v>
      </c>
      <c r="Q12" s="28" t="s">
        <v>205</v>
      </c>
    </row>
    <row r="13" spans="1:17" ht="40.200000000000003" thickBot="1">
      <c r="A13" s="29">
        <v>2320856</v>
      </c>
      <c r="B13" s="28" t="s">
        <v>121</v>
      </c>
      <c r="C13" s="29">
        <v>650</v>
      </c>
      <c r="D13" s="29">
        <v>435</v>
      </c>
      <c r="E13" s="29">
        <v>6623</v>
      </c>
      <c r="F13" s="29">
        <v>21.57</v>
      </c>
      <c r="G13" s="29">
        <v>193.49</v>
      </c>
      <c r="H13" s="29">
        <v>88</v>
      </c>
      <c r="I13" s="29">
        <v>576</v>
      </c>
      <c r="J13" s="29">
        <v>11.86</v>
      </c>
      <c r="K13" s="29">
        <v>394</v>
      </c>
      <c r="L13" s="30" t="s">
        <v>207</v>
      </c>
      <c r="M13" s="28" t="s">
        <v>40</v>
      </c>
      <c r="N13" s="32">
        <v>20000000</v>
      </c>
      <c r="O13" s="28" t="s">
        <v>19</v>
      </c>
      <c r="P13" s="28" t="s">
        <v>20</v>
      </c>
      <c r="Q13" s="28" t="s">
        <v>205</v>
      </c>
    </row>
    <row r="14" spans="1:17" ht="40.200000000000003" thickBot="1">
      <c r="A14" s="29">
        <v>37888165</v>
      </c>
      <c r="B14" s="28" t="s">
        <v>53</v>
      </c>
      <c r="C14" s="29">
        <v>106</v>
      </c>
      <c r="D14" s="29">
        <v>77</v>
      </c>
      <c r="E14" s="29">
        <v>865</v>
      </c>
      <c r="F14" s="29">
        <v>17.3</v>
      </c>
      <c r="G14" s="29">
        <v>190.95</v>
      </c>
      <c r="H14" s="29" t="s">
        <v>166</v>
      </c>
      <c r="I14" s="29">
        <v>39</v>
      </c>
      <c r="J14" s="29">
        <v>11.7</v>
      </c>
      <c r="K14" s="29">
        <v>61</v>
      </c>
      <c r="L14" s="30" t="s">
        <v>207</v>
      </c>
      <c r="M14" s="28" t="s">
        <v>25</v>
      </c>
      <c r="N14" s="32">
        <v>5000000</v>
      </c>
      <c r="O14" s="28" t="s">
        <v>19</v>
      </c>
      <c r="P14" s="28" t="s">
        <v>20</v>
      </c>
      <c r="Q14" s="28" t="s">
        <v>205</v>
      </c>
    </row>
    <row r="15" spans="1:17" ht="40.200000000000003" thickBot="1">
      <c r="A15" s="29">
        <v>12060554</v>
      </c>
      <c r="B15" s="28" t="s">
        <v>185</v>
      </c>
      <c r="C15" s="29">
        <v>136</v>
      </c>
      <c r="D15" s="29">
        <v>106</v>
      </c>
      <c r="E15" s="29">
        <v>971</v>
      </c>
      <c r="F15" s="29">
        <v>12.14</v>
      </c>
      <c r="G15" s="29">
        <v>161.30000000000001</v>
      </c>
      <c r="H15" s="29">
        <v>65</v>
      </c>
      <c r="I15" s="29">
        <v>48</v>
      </c>
      <c r="J15" s="29">
        <v>10.46</v>
      </c>
      <c r="K15" s="29">
        <v>75</v>
      </c>
      <c r="L15" s="30" t="s">
        <v>207</v>
      </c>
      <c r="M15" s="28" t="s">
        <v>50</v>
      </c>
      <c r="N15" s="32">
        <v>10000000</v>
      </c>
      <c r="O15" s="28" t="s">
        <v>19</v>
      </c>
      <c r="P15" s="28" t="s">
        <v>20</v>
      </c>
      <c r="Q15" s="28" t="s">
        <v>42</v>
      </c>
    </row>
    <row r="16" spans="1:17" ht="40.200000000000003" thickBot="1">
      <c r="A16" s="29">
        <v>3371745</v>
      </c>
      <c r="B16" s="28" t="s">
        <v>62</v>
      </c>
      <c r="C16" s="29">
        <v>107</v>
      </c>
      <c r="D16" s="29">
        <v>89</v>
      </c>
      <c r="E16" s="29">
        <v>1711</v>
      </c>
      <c r="F16" s="29">
        <v>21.12</v>
      </c>
      <c r="G16" s="29">
        <v>131.21</v>
      </c>
      <c r="H16" s="29">
        <v>105</v>
      </c>
      <c r="I16" s="29">
        <v>117</v>
      </c>
      <c r="J16" s="29">
        <v>8.8800000000000008</v>
      </c>
      <c r="K16" s="29">
        <v>38</v>
      </c>
      <c r="L16" s="30" t="s">
        <v>207</v>
      </c>
      <c r="M16" s="28" t="s">
        <v>40</v>
      </c>
      <c r="N16" s="32">
        <v>20000000</v>
      </c>
      <c r="O16" s="28" t="s">
        <v>19</v>
      </c>
      <c r="P16" s="28" t="s">
        <v>20</v>
      </c>
      <c r="Q16" s="28" t="s">
        <v>205</v>
      </c>
    </row>
    <row r="17" spans="1:17" ht="40.200000000000003" thickBot="1">
      <c r="A17" s="29">
        <v>38392651</v>
      </c>
      <c r="B17" s="28" t="s">
        <v>68</v>
      </c>
      <c r="C17" s="29">
        <v>80</v>
      </c>
      <c r="D17" s="29">
        <v>55</v>
      </c>
      <c r="E17" s="29">
        <v>623</v>
      </c>
      <c r="F17" s="29">
        <v>18.88</v>
      </c>
      <c r="G17" s="29">
        <v>171.15</v>
      </c>
      <c r="H17" s="29" t="s">
        <v>168</v>
      </c>
      <c r="I17" s="29">
        <v>28</v>
      </c>
      <c r="J17" s="29">
        <v>10.25</v>
      </c>
      <c r="K17" s="29">
        <v>31</v>
      </c>
      <c r="L17" s="30" t="s">
        <v>207</v>
      </c>
      <c r="M17" s="28" t="s">
        <v>25</v>
      </c>
      <c r="N17" s="32">
        <v>5000000</v>
      </c>
      <c r="O17" s="28" t="s">
        <v>19</v>
      </c>
      <c r="P17" s="28" t="s">
        <v>20</v>
      </c>
      <c r="Q17" s="38" t="s">
        <v>204</v>
      </c>
    </row>
    <row r="18" spans="1:17" ht="40.200000000000003" thickBot="1">
      <c r="A18" s="29">
        <v>10363516</v>
      </c>
      <c r="B18" s="28" t="s">
        <v>212</v>
      </c>
      <c r="C18" s="29">
        <v>18</v>
      </c>
      <c r="D18" s="29">
        <v>12</v>
      </c>
      <c r="E18" s="29">
        <v>72</v>
      </c>
      <c r="F18" s="29">
        <v>10.29</v>
      </c>
      <c r="G18" s="29">
        <v>118.03</v>
      </c>
      <c r="H18" s="29" t="s">
        <v>213</v>
      </c>
      <c r="I18" s="29">
        <v>11</v>
      </c>
      <c r="J18" s="29">
        <v>8.24</v>
      </c>
      <c r="K18" s="29">
        <v>13</v>
      </c>
      <c r="L18" s="28"/>
      <c r="M18" s="28" t="s">
        <v>45</v>
      </c>
      <c r="N18" s="32">
        <v>2000000</v>
      </c>
      <c r="O18" s="28" t="s">
        <v>19</v>
      </c>
      <c r="P18" s="28" t="s">
        <v>20</v>
      </c>
      <c r="Q18" s="28" t="s">
        <v>42</v>
      </c>
    </row>
    <row r="19" spans="1:17" ht="40.200000000000003" thickBot="1">
      <c r="A19" s="29">
        <v>11374748</v>
      </c>
      <c r="B19" s="28" t="s">
        <v>159</v>
      </c>
      <c r="C19" s="29">
        <v>46</v>
      </c>
      <c r="D19" s="29">
        <v>36</v>
      </c>
      <c r="E19" s="29">
        <v>725</v>
      </c>
      <c r="F19" s="29">
        <v>30.21</v>
      </c>
      <c r="G19" s="29">
        <v>183.54</v>
      </c>
      <c r="H19" s="29">
        <v>52</v>
      </c>
      <c r="I19" s="29">
        <v>21</v>
      </c>
      <c r="J19" s="29">
        <v>8.98</v>
      </c>
      <c r="K19" s="29">
        <v>36</v>
      </c>
      <c r="L19" s="30" t="s">
        <v>207</v>
      </c>
      <c r="M19" s="28" t="s">
        <v>40</v>
      </c>
      <c r="N19" s="32">
        <v>20000000</v>
      </c>
      <c r="O19" s="28" t="s">
        <v>19</v>
      </c>
      <c r="P19" s="28" t="s">
        <v>20</v>
      </c>
      <c r="Q19" s="28" t="s">
        <v>205</v>
      </c>
    </row>
    <row r="20" spans="1:17" ht="40.200000000000003" thickBot="1">
      <c r="A20" s="29">
        <v>49414345</v>
      </c>
      <c r="B20" s="28" t="s">
        <v>97</v>
      </c>
      <c r="C20" s="29">
        <v>9</v>
      </c>
      <c r="D20" s="29">
        <v>6</v>
      </c>
      <c r="E20" s="29">
        <v>85</v>
      </c>
      <c r="F20" s="29">
        <v>17</v>
      </c>
      <c r="G20" s="29">
        <v>151.79</v>
      </c>
      <c r="H20" s="29">
        <v>39</v>
      </c>
      <c r="I20" s="29">
        <v>3</v>
      </c>
      <c r="J20" s="29">
        <v>11.33</v>
      </c>
      <c r="K20" s="29">
        <v>2</v>
      </c>
      <c r="L20" s="30" t="s">
        <v>207</v>
      </c>
      <c r="M20" s="28" t="s">
        <v>45</v>
      </c>
      <c r="N20" s="32">
        <v>2000000</v>
      </c>
      <c r="O20" s="28" t="s">
        <v>19</v>
      </c>
      <c r="P20" s="28" t="s">
        <v>20</v>
      </c>
      <c r="Q20" s="38" t="s">
        <v>204</v>
      </c>
    </row>
    <row r="21" spans="1:17" ht="40.200000000000003" thickBot="1">
      <c r="A21" s="29">
        <v>48762345</v>
      </c>
      <c r="B21" s="28" t="s">
        <v>80</v>
      </c>
      <c r="C21" s="29">
        <v>9</v>
      </c>
      <c r="D21" s="29">
        <v>8</v>
      </c>
      <c r="E21" s="29">
        <v>144</v>
      </c>
      <c r="F21" s="29">
        <v>18</v>
      </c>
      <c r="G21" s="29">
        <v>211.76</v>
      </c>
      <c r="H21" s="29">
        <v>35</v>
      </c>
      <c r="I21" s="29">
        <v>5</v>
      </c>
      <c r="J21" s="29">
        <v>11.6</v>
      </c>
      <c r="K21" s="29">
        <v>8</v>
      </c>
      <c r="L21" s="30" t="s">
        <v>207</v>
      </c>
      <c r="M21" s="28" t="s">
        <v>50</v>
      </c>
      <c r="N21" s="32">
        <v>10000000</v>
      </c>
      <c r="O21" s="28" t="s">
        <v>19</v>
      </c>
      <c r="P21" s="28" t="s">
        <v>20</v>
      </c>
      <c r="Q21" s="38" t="s">
        <v>204</v>
      </c>
    </row>
    <row r="22" spans="1:17" ht="40.200000000000003" thickBot="1">
      <c r="A22" s="29">
        <v>4258050</v>
      </c>
      <c r="B22" s="28" t="s">
        <v>94</v>
      </c>
      <c r="C22" s="29">
        <v>207</v>
      </c>
      <c r="D22" s="29">
        <v>175</v>
      </c>
      <c r="E22" s="29">
        <v>1775</v>
      </c>
      <c r="F22" s="29">
        <v>12.77</v>
      </c>
      <c r="G22" s="29">
        <v>149.66</v>
      </c>
      <c r="H22" s="29" t="s">
        <v>181</v>
      </c>
      <c r="I22" s="29">
        <v>111</v>
      </c>
      <c r="J22" s="29">
        <v>10.42</v>
      </c>
      <c r="K22" s="29">
        <v>63</v>
      </c>
      <c r="L22" s="30" t="s">
        <v>207</v>
      </c>
      <c r="M22" s="28" t="s">
        <v>50</v>
      </c>
      <c r="N22" s="32">
        <v>10000000</v>
      </c>
      <c r="O22" s="28" t="s">
        <v>19</v>
      </c>
      <c r="P22" s="28" t="s">
        <v>20</v>
      </c>
      <c r="Q22" s="28" t="s">
        <v>42</v>
      </c>
    </row>
    <row r="23" spans="1:17" ht="40.200000000000003" thickBot="1">
      <c r="A23" s="29">
        <v>12060748</v>
      </c>
      <c r="B23" s="28" t="s">
        <v>128</v>
      </c>
      <c r="C23" s="29">
        <v>113</v>
      </c>
      <c r="D23" s="29">
        <v>63</v>
      </c>
      <c r="E23" s="29">
        <v>389</v>
      </c>
      <c r="F23" s="29">
        <v>9.0500000000000007</v>
      </c>
      <c r="G23" s="29">
        <v>136.01</v>
      </c>
      <c r="H23" s="29">
        <v>30</v>
      </c>
      <c r="I23" s="29">
        <v>45</v>
      </c>
      <c r="J23" s="29">
        <v>10.91</v>
      </c>
      <c r="K23" s="29">
        <v>33</v>
      </c>
      <c r="L23" s="30" t="s">
        <v>207</v>
      </c>
      <c r="M23" s="28" t="s">
        <v>25</v>
      </c>
      <c r="N23" s="32">
        <v>5000000</v>
      </c>
      <c r="O23" s="28" t="s">
        <v>19</v>
      </c>
      <c r="P23" s="28" t="s">
        <v>20</v>
      </c>
      <c r="Q23" s="28" t="s">
        <v>42</v>
      </c>
    </row>
    <row r="24" spans="1:17" ht="40.200000000000003" thickBot="1">
      <c r="A24" s="29">
        <v>31751306</v>
      </c>
      <c r="B24" s="28" t="s">
        <v>191</v>
      </c>
      <c r="C24" s="29">
        <v>22</v>
      </c>
      <c r="D24" s="29">
        <v>13</v>
      </c>
      <c r="E24" s="29">
        <v>60</v>
      </c>
      <c r="F24" s="29">
        <v>7.5</v>
      </c>
      <c r="G24" s="29">
        <v>93.75</v>
      </c>
      <c r="H24" s="29" t="s">
        <v>192</v>
      </c>
      <c r="I24" s="28"/>
      <c r="J24" s="28"/>
      <c r="K24" s="29">
        <v>11</v>
      </c>
      <c r="L24" s="30" t="s">
        <v>207</v>
      </c>
      <c r="M24" s="28" t="s">
        <v>50</v>
      </c>
      <c r="N24" s="32">
        <v>10000000</v>
      </c>
      <c r="O24" s="28" t="s">
        <v>19</v>
      </c>
      <c r="P24" s="28" t="s">
        <v>20</v>
      </c>
      <c r="Q24" s="28" t="s">
        <v>42</v>
      </c>
    </row>
    <row r="25" spans="1:17" ht="40.200000000000003" thickBot="1">
      <c r="A25" s="29">
        <v>42598564</v>
      </c>
      <c r="B25" s="28" t="s">
        <v>108</v>
      </c>
      <c r="C25" s="29">
        <v>129</v>
      </c>
      <c r="D25" s="29">
        <v>106</v>
      </c>
      <c r="E25" s="29">
        <v>1570</v>
      </c>
      <c r="F25" s="29">
        <v>19.38</v>
      </c>
      <c r="G25" s="29">
        <v>191.46</v>
      </c>
      <c r="H25" s="29" t="s">
        <v>186</v>
      </c>
      <c r="I25" s="29">
        <v>50</v>
      </c>
      <c r="J25" s="29">
        <v>11.86</v>
      </c>
      <c r="K25" s="29">
        <v>59</v>
      </c>
      <c r="L25" s="30" t="s">
        <v>207</v>
      </c>
      <c r="M25" s="28" t="s">
        <v>50</v>
      </c>
      <c r="N25" s="32">
        <v>10000000</v>
      </c>
      <c r="O25" s="28" t="s">
        <v>19</v>
      </c>
      <c r="P25" s="28" t="s">
        <v>20</v>
      </c>
      <c r="Q25" s="38" t="s">
        <v>204</v>
      </c>
    </row>
    <row r="26" spans="1:17" ht="40.200000000000003" thickBot="1">
      <c r="A26" s="29">
        <v>45002297</v>
      </c>
      <c r="B26" s="28" t="s">
        <v>71</v>
      </c>
      <c r="C26" s="29">
        <v>14</v>
      </c>
      <c r="D26" s="29">
        <v>11</v>
      </c>
      <c r="E26" s="29">
        <v>110</v>
      </c>
      <c r="F26" s="29">
        <v>18.329999999999998</v>
      </c>
      <c r="G26" s="29">
        <v>142.86000000000001</v>
      </c>
      <c r="H26" s="29" t="s">
        <v>169</v>
      </c>
      <c r="I26" s="29">
        <v>13</v>
      </c>
      <c r="J26" s="29">
        <v>8.73</v>
      </c>
      <c r="K26" s="29">
        <v>6</v>
      </c>
      <c r="L26" s="30" t="s">
        <v>207</v>
      </c>
      <c r="M26" s="28" t="s">
        <v>25</v>
      </c>
      <c r="N26" s="32">
        <v>5000000</v>
      </c>
      <c r="O26" s="28" t="s">
        <v>19</v>
      </c>
      <c r="P26" s="28" t="s">
        <v>20</v>
      </c>
      <c r="Q26" s="28" t="s">
        <v>42</v>
      </c>
    </row>
    <row r="27" spans="1:17" ht="40.200000000000003" thickBot="1">
      <c r="A27" s="29">
        <v>36055152</v>
      </c>
      <c r="B27" s="28" t="s">
        <v>170</v>
      </c>
      <c r="C27" s="29">
        <v>74</v>
      </c>
      <c r="D27" s="29">
        <v>51</v>
      </c>
      <c r="E27" s="29">
        <v>411</v>
      </c>
      <c r="F27" s="29">
        <v>11.11</v>
      </c>
      <c r="G27" s="29">
        <v>132.58000000000001</v>
      </c>
      <c r="H27" s="29" t="s">
        <v>171</v>
      </c>
      <c r="I27" s="29">
        <v>25</v>
      </c>
      <c r="J27" s="29">
        <v>12.89</v>
      </c>
      <c r="K27" s="29">
        <v>36</v>
      </c>
      <c r="L27" s="30" t="s">
        <v>207</v>
      </c>
      <c r="M27" s="28" t="s">
        <v>45</v>
      </c>
      <c r="N27" s="32">
        <v>2000000</v>
      </c>
      <c r="O27" s="28" t="s">
        <v>19</v>
      </c>
      <c r="P27" s="28" t="s">
        <v>20</v>
      </c>
      <c r="Q27" s="38" t="s">
        <v>204</v>
      </c>
    </row>
    <row r="28" spans="1:17" ht="27" thickBot="1">
      <c r="A28" s="29">
        <v>47133527</v>
      </c>
      <c r="B28" s="28" t="s">
        <v>113</v>
      </c>
      <c r="C28" s="29">
        <v>75</v>
      </c>
      <c r="D28" s="29">
        <v>50</v>
      </c>
      <c r="E28" s="29">
        <v>666</v>
      </c>
      <c r="F28" s="29">
        <v>16.649999999999999</v>
      </c>
      <c r="G28" s="29">
        <v>164.44</v>
      </c>
      <c r="H28" s="29">
        <v>54</v>
      </c>
      <c r="I28" s="29">
        <v>36</v>
      </c>
      <c r="J28" s="29">
        <v>10.14</v>
      </c>
      <c r="K28" s="29">
        <v>34</v>
      </c>
      <c r="L28" s="30" t="s">
        <v>207</v>
      </c>
      <c r="M28" s="28" t="s">
        <v>25</v>
      </c>
      <c r="N28" s="32">
        <v>5000000</v>
      </c>
      <c r="O28" s="28" t="s">
        <v>114</v>
      </c>
      <c r="P28" s="28" t="s">
        <v>20</v>
      </c>
      <c r="Q28" s="28" t="s">
        <v>42</v>
      </c>
    </row>
    <row r="29" spans="1:17" ht="40.200000000000003" thickBot="1">
      <c r="A29" s="29">
        <v>44011252</v>
      </c>
      <c r="B29" s="28" t="s">
        <v>116</v>
      </c>
      <c r="C29" s="29">
        <v>55</v>
      </c>
      <c r="D29" s="29">
        <v>37</v>
      </c>
      <c r="E29" s="29">
        <v>732</v>
      </c>
      <c r="F29" s="29">
        <v>27.11</v>
      </c>
      <c r="G29" s="29">
        <v>196.77</v>
      </c>
      <c r="H29" s="29" t="s">
        <v>187</v>
      </c>
      <c r="I29" s="29">
        <v>12</v>
      </c>
      <c r="J29" s="29">
        <v>11.04</v>
      </c>
      <c r="K29" s="29">
        <v>17</v>
      </c>
      <c r="L29" s="30" t="s">
        <v>207</v>
      </c>
      <c r="M29" s="28" t="s">
        <v>40</v>
      </c>
      <c r="N29" s="32">
        <v>20000000</v>
      </c>
      <c r="O29" s="28" t="s">
        <v>19</v>
      </c>
      <c r="P29" s="28" t="s">
        <v>20</v>
      </c>
      <c r="Q29" s="28" t="s">
        <v>205</v>
      </c>
    </row>
    <row r="30" spans="1:17" ht="40.200000000000003" thickBot="1">
      <c r="A30" s="29">
        <v>8026613</v>
      </c>
      <c r="B30" s="28" t="s">
        <v>103</v>
      </c>
      <c r="C30" s="29">
        <v>17</v>
      </c>
      <c r="D30" s="29">
        <v>10</v>
      </c>
      <c r="E30" s="29">
        <v>86</v>
      </c>
      <c r="F30" s="29">
        <v>14.33</v>
      </c>
      <c r="G30" s="29">
        <v>132.31</v>
      </c>
      <c r="H30" s="29">
        <v>33</v>
      </c>
      <c r="I30" s="29">
        <v>0</v>
      </c>
      <c r="J30" s="29">
        <v>18.75</v>
      </c>
      <c r="K30" s="29">
        <v>3</v>
      </c>
      <c r="L30" s="30" t="s">
        <v>207</v>
      </c>
      <c r="M30" s="28" t="s">
        <v>45</v>
      </c>
      <c r="N30" s="32">
        <v>2000000</v>
      </c>
      <c r="O30" s="28" t="s">
        <v>19</v>
      </c>
      <c r="P30" s="28" t="s">
        <v>20</v>
      </c>
      <c r="Q30" s="28" t="s">
        <v>42</v>
      </c>
    </row>
    <row r="31" spans="1:17" ht="40.200000000000003" thickBot="1">
      <c r="A31" s="29">
        <v>17365917</v>
      </c>
      <c r="B31" s="28" t="s">
        <v>210</v>
      </c>
      <c r="C31" s="29">
        <v>9</v>
      </c>
      <c r="D31" s="29">
        <v>8</v>
      </c>
      <c r="E31" s="29">
        <v>61</v>
      </c>
      <c r="F31" s="29">
        <v>10.17</v>
      </c>
      <c r="G31" s="29">
        <v>164.86</v>
      </c>
      <c r="H31" s="29">
        <v>18</v>
      </c>
      <c r="I31" s="29">
        <v>2</v>
      </c>
      <c r="J31" s="29">
        <v>10.76</v>
      </c>
      <c r="K31" s="29">
        <v>4</v>
      </c>
      <c r="L31" s="30" t="s">
        <v>207</v>
      </c>
      <c r="M31" s="28" t="s">
        <v>45</v>
      </c>
      <c r="N31" s="32">
        <v>2000000</v>
      </c>
      <c r="O31" s="28" t="s">
        <v>19</v>
      </c>
      <c r="P31" s="28" t="s">
        <v>20</v>
      </c>
      <c r="Q31" s="28" t="s">
        <v>42</v>
      </c>
    </row>
    <row r="32" spans="1:17" ht="40.200000000000003" thickBot="1">
      <c r="A32" s="29">
        <v>4779842</v>
      </c>
      <c r="B32" s="28" t="s">
        <v>179</v>
      </c>
      <c r="C32" s="29">
        <v>154</v>
      </c>
      <c r="D32" s="29">
        <v>131</v>
      </c>
      <c r="E32" s="29">
        <v>2294</v>
      </c>
      <c r="F32" s="29">
        <v>22.71</v>
      </c>
      <c r="G32" s="29">
        <v>183.08</v>
      </c>
      <c r="H32" s="29" t="s">
        <v>180</v>
      </c>
      <c r="I32" s="29">
        <v>59</v>
      </c>
      <c r="J32" s="29">
        <v>10.5</v>
      </c>
      <c r="K32" s="29">
        <v>46</v>
      </c>
      <c r="L32" s="30" t="s">
        <v>207</v>
      </c>
      <c r="M32" s="28" t="s">
        <v>40</v>
      </c>
      <c r="N32" s="32">
        <v>20000000</v>
      </c>
      <c r="O32" s="28" t="s">
        <v>19</v>
      </c>
      <c r="P32" s="28" t="s">
        <v>20</v>
      </c>
      <c r="Q32" s="38" t="s">
        <v>204</v>
      </c>
    </row>
    <row r="33" spans="1:27" ht="40.200000000000003" thickBot="1">
      <c r="A33" s="29">
        <v>51819205</v>
      </c>
      <c r="B33" s="28" t="s">
        <v>209</v>
      </c>
      <c r="C33" s="28"/>
      <c r="D33" s="28"/>
      <c r="E33" s="28"/>
      <c r="F33" s="28"/>
      <c r="G33" s="28"/>
      <c r="H33" s="28"/>
      <c r="I33" s="28"/>
      <c r="J33" s="28"/>
      <c r="K33" s="29">
        <v>0</v>
      </c>
      <c r="L33" s="30" t="s">
        <v>207</v>
      </c>
      <c r="M33" s="28" t="s">
        <v>45</v>
      </c>
      <c r="N33" s="32">
        <v>2000000</v>
      </c>
      <c r="O33" s="28" t="s">
        <v>19</v>
      </c>
      <c r="P33" s="28" t="s">
        <v>20</v>
      </c>
      <c r="Q33" s="28" t="s">
        <v>42</v>
      </c>
    </row>
    <row r="34" spans="1:27" ht="40.200000000000003" thickBot="1">
      <c r="A34" s="29">
        <v>12061243</v>
      </c>
      <c r="B34" s="28" t="s">
        <v>211</v>
      </c>
      <c r="C34" s="29">
        <v>231</v>
      </c>
      <c r="D34" s="29">
        <v>211</v>
      </c>
      <c r="E34" s="29">
        <v>4736</v>
      </c>
      <c r="F34" s="29">
        <v>28.19</v>
      </c>
      <c r="G34" s="29">
        <v>217.25</v>
      </c>
      <c r="H34" s="29">
        <v>94</v>
      </c>
      <c r="I34" s="29">
        <v>111</v>
      </c>
      <c r="J34" s="29">
        <v>10.85</v>
      </c>
      <c r="K34" s="29">
        <v>119</v>
      </c>
      <c r="L34" s="28"/>
      <c r="M34" s="28" t="s">
        <v>40</v>
      </c>
      <c r="N34" s="32">
        <v>20000000</v>
      </c>
      <c r="O34" s="28" t="s">
        <v>19</v>
      </c>
      <c r="P34" s="28" t="s">
        <v>20</v>
      </c>
      <c r="Q34" s="38" t="s">
        <v>204</v>
      </c>
    </row>
    <row r="35" spans="1:27" ht="27" thickBot="1">
      <c r="A35" s="29">
        <v>22819671</v>
      </c>
      <c r="B35" s="28" t="s">
        <v>189</v>
      </c>
      <c r="C35" s="29">
        <v>51</v>
      </c>
      <c r="D35" s="29">
        <v>37</v>
      </c>
      <c r="E35" s="29">
        <v>264</v>
      </c>
      <c r="F35" s="29">
        <v>9.7799999999999994</v>
      </c>
      <c r="G35" s="29">
        <v>96.7</v>
      </c>
      <c r="H35" s="29">
        <v>35</v>
      </c>
      <c r="I35" s="29">
        <v>58</v>
      </c>
      <c r="J35" s="29">
        <v>6.9</v>
      </c>
      <c r="K35" s="29">
        <v>14</v>
      </c>
      <c r="L35" s="30" t="s">
        <v>207</v>
      </c>
      <c r="M35" s="28" t="s">
        <v>25</v>
      </c>
      <c r="N35" s="32">
        <v>5000000</v>
      </c>
      <c r="O35" s="28" t="s">
        <v>114</v>
      </c>
      <c r="P35" s="28" t="s">
        <v>208</v>
      </c>
      <c r="Q35" s="28" t="s">
        <v>42</v>
      </c>
    </row>
    <row r="36" spans="1:27" ht="40.200000000000003" thickBot="1">
      <c r="A36" s="29">
        <v>29988182</v>
      </c>
      <c r="B36" s="28" t="s">
        <v>130</v>
      </c>
      <c r="C36" s="29">
        <v>46</v>
      </c>
      <c r="D36" s="29">
        <v>36</v>
      </c>
      <c r="E36" s="29">
        <v>463</v>
      </c>
      <c r="F36" s="29">
        <v>15.43</v>
      </c>
      <c r="G36" s="29">
        <v>159.11000000000001</v>
      </c>
      <c r="H36" s="29">
        <v>41</v>
      </c>
      <c r="I36" s="29">
        <v>13</v>
      </c>
      <c r="J36" s="29">
        <v>10.68</v>
      </c>
      <c r="K36" s="29">
        <v>26</v>
      </c>
      <c r="L36" s="30" t="s">
        <v>207</v>
      </c>
      <c r="M36" s="28" t="s">
        <v>50</v>
      </c>
      <c r="N36" s="32">
        <v>10000000</v>
      </c>
      <c r="O36" s="28" t="s">
        <v>19</v>
      </c>
      <c r="P36" s="28" t="s">
        <v>20</v>
      </c>
      <c r="Q36" s="28" t="s">
        <v>42</v>
      </c>
    </row>
    <row r="37" spans="1:27" ht="40.200000000000003" thickBot="1">
      <c r="A37" s="29">
        <v>10984519</v>
      </c>
      <c r="B37" s="28" t="s">
        <v>173</v>
      </c>
      <c r="C37" s="29">
        <v>187</v>
      </c>
      <c r="D37" s="29">
        <v>152</v>
      </c>
      <c r="E37" s="29">
        <v>3072</v>
      </c>
      <c r="F37" s="29">
        <v>29.26</v>
      </c>
      <c r="G37" s="29">
        <v>213.63</v>
      </c>
      <c r="H37" s="29" t="s">
        <v>174</v>
      </c>
      <c r="I37" s="29">
        <v>105</v>
      </c>
      <c r="J37" s="29">
        <v>9.0500000000000007</v>
      </c>
      <c r="K37" s="29">
        <v>127</v>
      </c>
      <c r="L37" s="30" t="s">
        <v>207</v>
      </c>
      <c r="M37" s="28" t="s">
        <v>40</v>
      </c>
      <c r="N37" s="32">
        <v>20000000</v>
      </c>
      <c r="O37" s="28" t="s">
        <v>19</v>
      </c>
      <c r="P37" s="28" t="s">
        <v>20</v>
      </c>
      <c r="Q37" s="38" t="s">
        <v>204</v>
      </c>
    </row>
    <row r="38" spans="1:27" ht="13.8" thickBot="1">
      <c r="A38" s="29"/>
      <c r="B38" s="28"/>
      <c r="C38" s="29"/>
      <c r="D38" s="29"/>
      <c r="E38" s="29"/>
      <c r="F38" s="29"/>
      <c r="G38" s="29"/>
      <c r="H38" s="29"/>
      <c r="I38" s="29"/>
      <c r="J38" s="29"/>
      <c r="K38" s="29"/>
      <c r="L38" s="30"/>
      <c r="M38" s="36"/>
      <c r="N38" s="32"/>
      <c r="O38" s="28"/>
      <c r="P38" s="28"/>
      <c r="Q38" s="28"/>
    </row>
    <row r="39" spans="1:27" ht="13.8" thickBot="1">
      <c r="A39" s="29"/>
      <c r="B39" s="28"/>
      <c r="C39" s="29"/>
      <c r="D39" s="29"/>
      <c r="E39" s="29"/>
      <c r="F39" s="29"/>
      <c r="G39" s="29"/>
      <c r="H39" s="29"/>
      <c r="I39" s="29"/>
      <c r="J39" s="29"/>
      <c r="K39" s="29"/>
      <c r="L39" s="30"/>
      <c r="M39" s="31"/>
      <c r="N39" s="32"/>
      <c r="O39" s="28"/>
      <c r="P39" s="28"/>
      <c r="Q39" s="28"/>
    </row>
    <row r="40" spans="1:27" ht="13.8" thickBot="1">
      <c r="A40" s="29"/>
      <c r="B40" s="28"/>
      <c r="C40" s="28"/>
      <c r="D40" s="28"/>
      <c r="E40" s="28"/>
      <c r="F40" s="28"/>
      <c r="G40" s="28"/>
      <c r="H40" s="28"/>
      <c r="I40" s="28"/>
      <c r="J40" s="28"/>
      <c r="K40" s="29"/>
      <c r="L40" s="30"/>
      <c r="M40" s="36"/>
      <c r="N40" s="32"/>
      <c r="O40" s="28"/>
      <c r="P40" s="28"/>
      <c r="Q40" s="28"/>
    </row>
    <row r="41" spans="1:27" ht="13.8" thickBot="1">
      <c r="A41" s="29"/>
      <c r="B41" s="28"/>
      <c r="C41" s="29"/>
      <c r="D41" s="29"/>
      <c r="E41" s="29"/>
      <c r="F41" s="29"/>
      <c r="G41" s="29"/>
      <c r="H41" s="29"/>
      <c r="I41" s="29"/>
      <c r="J41" s="29"/>
      <c r="K41" s="29"/>
      <c r="L41" s="30"/>
      <c r="M41" s="33"/>
      <c r="N41" s="29"/>
      <c r="O41" s="28"/>
      <c r="P41" s="28"/>
      <c r="Q41" s="28"/>
    </row>
    <row r="42" spans="1:27" ht="13.8" thickBot="1">
      <c r="A42" s="29"/>
      <c r="B42" s="28"/>
      <c r="C42" s="29"/>
      <c r="D42" s="29"/>
      <c r="E42" s="29"/>
      <c r="F42" s="29"/>
      <c r="G42" s="29"/>
      <c r="H42" s="29"/>
      <c r="I42" s="29"/>
      <c r="J42" s="29"/>
      <c r="K42" s="29"/>
      <c r="L42" s="30"/>
      <c r="M42" s="34"/>
      <c r="N42" s="32"/>
      <c r="O42" s="28"/>
      <c r="P42" s="28"/>
      <c r="Q42" s="28"/>
      <c r="R42" s="28"/>
      <c r="S42" s="28"/>
      <c r="T42" s="28"/>
      <c r="U42" s="28"/>
      <c r="V42" s="28"/>
      <c r="W42" s="28"/>
      <c r="X42" s="28"/>
      <c r="Y42" s="28"/>
      <c r="Z42" s="28"/>
      <c r="AA42" s="28"/>
    </row>
    <row r="43" spans="1:27" ht="13.8" thickBot="1">
      <c r="A43" s="29"/>
      <c r="B43" s="28"/>
      <c r="C43" s="29"/>
      <c r="D43" s="29"/>
      <c r="E43" s="29"/>
      <c r="F43" s="29"/>
      <c r="G43" s="29"/>
      <c r="H43" s="29"/>
      <c r="I43" s="29"/>
      <c r="J43" s="29"/>
      <c r="K43" s="29"/>
      <c r="L43" s="30"/>
      <c r="M43" s="35"/>
      <c r="N43" s="32"/>
      <c r="O43" s="28"/>
      <c r="P43" s="28"/>
      <c r="Q43" s="28"/>
      <c r="R43" s="28"/>
      <c r="S43" s="28"/>
      <c r="T43" s="28"/>
      <c r="U43" s="28"/>
      <c r="V43" s="28"/>
      <c r="W43" s="28"/>
      <c r="X43" s="28"/>
      <c r="Y43" s="28"/>
      <c r="Z43" s="28"/>
      <c r="AA43" s="28"/>
    </row>
    <row r="44" spans="1:27" ht="13.8" thickBot="1">
      <c r="A44" s="29"/>
      <c r="B44" s="28"/>
      <c r="C44" s="29"/>
      <c r="D44" s="29"/>
      <c r="E44" s="29"/>
      <c r="F44" s="29"/>
      <c r="G44" s="29"/>
      <c r="H44" s="29"/>
      <c r="I44" s="29"/>
      <c r="J44" s="29"/>
      <c r="K44" s="29"/>
      <c r="L44" s="30"/>
      <c r="M44" s="31"/>
      <c r="N44" s="32"/>
      <c r="O44" s="28"/>
      <c r="P44" s="28"/>
      <c r="Q44" s="28"/>
      <c r="R44" s="28"/>
      <c r="S44" s="28"/>
      <c r="T44" s="28"/>
      <c r="U44" s="28"/>
      <c r="V44" s="28"/>
      <c r="W44" s="28"/>
      <c r="X44" s="28"/>
      <c r="Y44" s="28"/>
      <c r="Z44" s="28"/>
      <c r="AA44" s="28"/>
    </row>
  </sheetData>
  <sortState xmlns:xlrd2="http://schemas.microsoft.com/office/spreadsheetml/2017/richdata2" ref="A2:Q44">
    <sortCondition ref="B1:B44"/>
  </sortState>
  <hyperlinks>
    <hyperlink ref="L2" r:id="rId1" display="https://cricheroes.com/player-profile/40256787/avijit-pal-cricket-bhojerhat/stats" xr:uid="{02A15B69-C85A-4EC1-B29E-655994A36F52}"/>
    <hyperlink ref="L3" r:id="rId2" display="https://cricheroes.com/player-profile/3336901/abhik-ganguly/stats" xr:uid="{3C9EC480-51CD-4D17-9509-8A962176E7AD}"/>
    <hyperlink ref="L4" r:id="rId3" display="https://cricheroes.com/player-profile/12060387/abhishek-sarkar/stats" xr:uid="{6D84264B-6EB5-46C2-9D5D-C287B90A8116}"/>
    <hyperlink ref="L5" r:id="rId4" display="https://cricheroes.com/player-profile/10984703/aman-jaiswal/stats" xr:uid="{E7B0BCBB-DEB3-4237-ABE7-BFD5C5523CC6}"/>
    <hyperlink ref="L6" r:id="rId5" display="https://cricheroes.com/player-profile/34507530/ananya-roy/stats" xr:uid="{5957DF51-29F3-4508-9E03-9B15877EFDBF}"/>
    <hyperlink ref="L7" r:id="rId6" display="https://cricheroes.com/player-profile/42627107/anirban-guha/stats" xr:uid="{2DF4DC06-BCAC-43B6-8C82-A341BC829908}"/>
    <hyperlink ref="L8" r:id="rId7" display="https://cricheroes.com/player-profile/33918878/anirban-paul/stats" xr:uid="{EB718BCF-8DD7-47CB-B606-45197A8C2D12}"/>
    <hyperlink ref="L9" r:id="rId8" display="https://cricheroes.com/player-profile/11077697/ankit-jaiswal/stats" xr:uid="{42315738-8DE0-4F8D-AF48-EEF5104FE3C9}"/>
    <hyperlink ref="L10" r:id="rId9" display="https://cricheroes.com/player-profile/43016896/arijit/stats" xr:uid="{F31CC324-263A-41CF-A016-C561FABAEEB1}"/>
    <hyperlink ref="L11" r:id="rId10" display="https://cricheroes.com/player-profile/19685723/arijit-roy/stats" xr:uid="{B1BCC170-C8D8-42D5-99B0-DB881FFF7006}"/>
    <hyperlink ref="L12" r:id="rId11" display="https://cricheroes.com/player-profile/44521368/avi-sengupta/stats" xr:uid="{42BCE993-8295-445D-AFB9-9BBA884695FA}"/>
    <hyperlink ref="L13" r:id="rId12" display="https://cricheroes.com/player-profile/2320856/balaram-shil/stats" xr:uid="{127DCD86-92C0-4A82-8F3C-84348CE1F759}"/>
    <hyperlink ref="L14" r:id="rId13" display="https://cricheroes.com/player-profile/37888165/bijon-mondal/stats" xr:uid="{E31C343C-08B0-499C-AB27-08CCDBEF9ADF}"/>
    <hyperlink ref="L15" r:id="rId14" display="https://cricheroes.com/player-profile/12060554/bony/stats" xr:uid="{C69ECE90-A1C3-47AB-B7C2-C3D9763841DD}"/>
    <hyperlink ref="L16" r:id="rId15" display="https://cricheroes.com/player-profile/3371745/debashish-roy/stats" xr:uid="{D3C2C40D-08E7-4F49-BEF6-1CA1D31576ED}"/>
    <hyperlink ref="L17" r:id="rId16" display="https://cricheroes.com/player-profile/38392651/dhritiman-dey/stats" xr:uid="{DCA178D7-F6CB-49B4-8EA1-78B6AD14DDE0}"/>
    <hyperlink ref="L19" r:id="rId17" display="https://cricheroes.com/player-profile/11374748/harshit-jaiswal/stats" xr:uid="{60E75967-3D45-4223-8134-FF45E6398569}"/>
    <hyperlink ref="L20" r:id="rId18" display="https://cricheroes.com/player-profile/49414345/indronil-das/stats" xr:uid="{D99913DA-1974-48FE-87A6-0E88FB4BAFE4}"/>
    <hyperlink ref="L21" r:id="rId19" display="https://cricheroes.com/player-profile/48762345/jewel-johnson/stats" xr:uid="{CC79DC7A-FA31-46C4-BCD2-A8773CF45C3A}"/>
    <hyperlink ref="L22" r:id="rId20" display="https://cricheroes.com/player-profile/4258050/jit/stats" xr:uid="{26A9E615-D145-4337-9A77-01D7BF5ACFCE}"/>
    <hyperlink ref="L23" r:id="rId21" display="https://cricheroes.com/player-profile/12060748/joy-mitra/stats" xr:uid="{CDB9BC9F-6A92-48C0-ABF6-FD748EC39108}"/>
    <hyperlink ref="L24" r:id="rId22" display="https://cricheroes.com/player-profile/31751306/koushik/stats" xr:uid="{674E9417-28DF-43BC-9BD7-CA8262B8D8C7}"/>
    <hyperlink ref="L25" r:id="rId23" display="https://cricheroes.com/player-profile/42598564/prince/stats" xr:uid="{F636E783-0829-4844-864D-D0669452FB15}"/>
    <hyperlink ref="L26" r:id="rId24" display="https://cricheroes.com/player-profile/45002297/rahul/stats" xr:uid="{E1252678-0181-43A5-9206-2DE5A66AA0A4}"/>
    <hyperlink ref="L27" r:id="rId25" display="https://cricheroes.com/player-profile/36055152/rohit-ghosh/stats" xr:uid="{E45173F6-F847-4DD7-84F3-7A7091E1772D}"/>
    <hyperlink ref="L28" r:id="rId26" display="https://cricheroes.com/player-profile/47133527/sen/stats" xr:uid="{FAED70F6-C7AF-46D8-81D0-93310FA9135E}"/>
    <hyperlink ref="L29" r:id="rId27" display="https://cricheroes.com/player-profile/44011252/salman/stats" xr:uid="{FFC7BD4F-D801-4621-A558-2C1655224B1B}"/>
    <hyperlink ref="L30" r:id="rId28" display="https://cricheroes.com/player-profile/8026613/samir/stats" xr:uid="{DEB0ADB6-8847-4303-ADC0-057DEA99C660}"/>
    <hyperlink ref="L31" r:id="rId29" display="https://cricheroes.com/player-profile/17365917/soumyojit/stats" xr:uid="{280D3787-42B2-4085-A92B-C559035CE438}"/>
    <hyperlink ref="L32" r:id="rId30" display="https://cricheroes.com/player-profile/4779842/subhasish-das/stats" xr:uid="{C5C79569-FFCA-419A-A308-D2EE75626FBE}"/>
    <hyperlink ref="L33" r:id="rId31" display="https://cricheroes.com/player-profile/51819205/sunil-kumar-shaw/stats" xr:uid="{7A968CC6-CC6C-4993-94F8-5928766DBAFE}"/>
    <hyperlink ref="L35" r:id="rId32" display="https://cricheroes.com/player-profile/22819671/tiyas-chatterjee/stats" xr:uid="{0B6C9721-4DB9-4706-A3E0-0FF5A69B2AFB}"/>
    <hyperlink ref="L36" r:id="rId33" display="https://cricheroes.com/player-profile/29988182/tushal-shaw/stats" xr:uid="{75551A7C-6EFF-4546-A60D-2C94B1A43CD8}"/>
    <hyperlink ref="L37" r:id="rId34" display="https://cricheroes.com/player-profile/10984519/ujjawal-jha/stats" xr:uid="{8A81AC79-3595-472D-B8C7-B9A743A5E102}"/>
  </hyperlinks>
  <pageMargins left="0.7" right="0.7" top="0.75" bottom="0.75" header="0.3" footer="0.3"/>
  <pageSetup orientation="portrait" r:id="rId3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4"/>
  <sheetViews>
    <sheetView showGridLines="0" topLeftCell="A2" workbookViewId="0"/>
  </sheetViews>
  <sheetFormatPr defaultColWidth="12.6640625" defaultRowHeight="15.75" customHeight="1"/>
  <cols>
    <col min="1" max="1" width="19" customWidth="1"/>
    <col min="2" max="2" width="14.88671875" customWidth="1"/>
    <col min="3" max="3" width="15.21875" customWidth="1"/>
    <col min="5" max="5" width="19" customWidth="1"/>
  </cols>
  <sheetData>
    <row r="1" spans="1:5" ht="15.75" customHeight="1">
      <c r="A1" s="24" t="s">
        <v>194</v>
      </c>
      <c r="B1" s="24" t="s">
        <v>40</v>
      </c>
      <c r="C1" s="24" t="s">
        <v>50</v>
      </c>
      <c r="D1" s="24" t="s">
        <v>25</v>
      </c>
      <c r="E1" s="24" t="s">
        <v>45</v>
      </c>
    </row>
    <row r="2" spans="1:5" ht="13.2">
      <c r="A2" s="25" t="s">
        <v>195</v>
      </c>
      <c r="B2" s="25" t="s">
        <v>196</v>
      </c>
      <c r="C2" s="25" t="s">
        <v>197</v>
      </c>
      <c r="D2" s="25" t="s">
        <v>198</v>
      </c>
      <c r="E2" s="25" t="s">
        <v>199</v>
      </c>
    </row>
    <row r="3" spans="1:5" ht="13.2">
      <c r="A3" s="19">
        <v>1</v>
      </c>
      <c r="B3" s="19" t="s">
        <v>37</v>
      </c>
      <c r="C3" s="19" t="s">
        <v>48</v>
      </c>
      <c r="D3" s="19" t="s">
        <v>18</v>
      </c>
      <c r="E3" s="19" t="s">
        <v>41</v>
      </c>
    </row>
    <row r="4" spans="1:5" ht="13.2">
      <c r="A4" s="19">
        <v>2</v>
      </c>
      <c r="B4" s="19" t="s">
        <v>62</v>
      </c>
      <c r="C4" s="26" t="s">
        <v>56</v>
      </c>
      <c r="D4" s="19" t="s">
        <v>53</v>
      </c>
      <c r="E4" s="26" t="s">
        <v>46</v>
      </c>
    </row>
    <row r="5" spans="1:5" ht="13.2">
      <c r="A5" s="19">
        <v>3</v>
      </c>
      <c r="B5" s="19" t="s">
        <v>77</v>
      </c>
      <c r="C5" s="26" t="s">
        <v>58</v>
      </c>
      <c r="D5" s="19" t="s">
        <v>68</v>
      </c>
      <c r="E5" s="26" t="s">
        <v>51</v>
      </c>
    </row>
    <row r="6" spans="1:5" ht="13.2">
      <c r="A6" s="19">
        <v>4</v>
      </c>
      <c r="B6" s="19" t="s">
        <v>83</v>
      </c>
      <c r="C6" s="19" t="s">
        <v>60</v>
      </c>
      <c r="D6" s="19" t="s">
        <v>110</v>
      </c>
      <c r="E6" s="19" t="s">
        <v>75</v>
      </c>
    </row>
    <row r="7" spans="1:5" ht="13.2">
      <c r="A7" s="19">
        <v>5</v>
      </c>
      <c r="B7" s="19" t="s">
        <v>89</v>
      </c>
      <c r="C7" s="19" t="s">
        <v>80</v>
      </c>
      <c r="D7" s="19" t="s">
        <v>113</v>
      </c>
      <c r="E7" s="19" t="s">
        <v>92</v>
      </c>
    </row>
    <row r="8" spans="1:5" ht="13.2">
      <c r="A8" s="19">
        <v>6</v>
      </c>
      <c r="B8" s="26" t="s">
        <v>116</v>
      </c>
      <c r="C8" s="19" t="s">
        <v>94</v>
      </c>
      <c r="D8" s="26" t="s">
        <v>123</v>
      </c>
      <c r="E8" s="19" t="s">
        <v>97</v>
      </c>
    </row>
    <row r="9" spans="1:5" ht="13.2">
      <c r="A9" s="19">
        <v>7</v>
      </c>
      <c r="B9" s="19" t="s">
        <v>121</v>
      </c>
      <c r="C9" s="19" t="s">
        <v>106</v>
      </c>
      <c r="D9" s="19" t="s">
        <v>125</v>
      </c>
      <c r="E9" s="19" t="s">
        <v>99</v>
      </c>
    </row>
    <row r="10" spans="1:5" ht="13.2">
      <c r="A10" s="19">
        <v>8</v>
      </c>
      <c r="C10" s="19" t="s">
        <v>108</v>
      </c>
      <c r="D10" s="19" t="s">
        <v>128</v>
      </c>
      <c r="E10" s="19" t="s">
        <v>101</v>
      </c>
    </row>
    <row r="11" spans="1:5" ht="13.2">
      <c r="A11" s="19">
        <v>9</v>
      </c>
      <c r="C11" s="26" t="s">
        <v>118</v>
      </c>
      <c r="D11" s="19" t="s">
        <v>71</v>
      </c>
      <c r="E11" s="19" t="s">
        <v>103</v>
      </c>
    </row>
    <row r="12" spans="1:5" ht="13.2">
      <c r="A12" s="19">
        <v>10</v>
      </c>
      <c r="C12" s="26" t="s">
        <v>130</v>
      </c>
      <c r="D12" s="19" t="s">
        <v>142</v>
      </c>
      <c r="E12" s="19" t="s">
        <v>132</v>
      </c>
    </row>
    <row r="13" spans="1:5" ht="13.2">
      <c r="A13" s="19">
        <v>11</v>
      </c>
      <c r="C13" s="19" t="s">
        <v>137</v>
      </c>
      <c r="E13" s="19" t="s">
        <v>135</v>
      </c>
    </row>
    <row r="14" spans="1:5" ht="13.2">
      <c r="A14" s="19">
        <v>12</v>
      </c>
      <c r="C14" s="19"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Form responses 1</vt:lpstr>
      <vt:lpstr>Player_DB</vt:lpstr>
      <vt:lpstr>Clean_Player_DB</vt:lpstr>
      <vt:lpstr>Seeding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2026-06-10T17:59:31Z</dcterms:modified>
</cp:coreProperties>
</file>