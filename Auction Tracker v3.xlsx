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Player_DB" sheetId="2" r:id="rId6"/>
    <sheet state="hidden" name="WheelSheet" sheetId="3" r:id="rId7"/>
  </sheets>
  <definedNames>
    <definedName hidden="1" localSheetId="0" name="_xlnm._FilterDatabase">'Form responses 1'!$A$1:$O$44</definedName>
  </definedNames>
  <calcPr/>
</workbook>
</file>

<file path=xl/sharedStrings.xml><?xml version="1.0" encoding="utf-8"?>
<sst xmlns="http://schemas.openxmlformats.org/spreadsheetml/2006/main" count="413" uniqueCount="210">
  <si>
    <t>Timestamp</t>
  </si>
  <si>
    <t>Name</t>
  </si>
  <si>
    <t>Whatsapp number</t>
  </si>
  <si>
    <t>Batting</t>
  </si>
  <si>
    <t>Bowling</t>
  </si>
  <si>
    <t>Bowling preference</t>
  </si>
  <si>
    <t>Rate yourself out of 10.</t>
  </si>
  <si>
    <t>Food preference</t>
  </si>
  <si>
    <t>Photo</t>
  </si>
  <si>
    <t>Any suggestions?</t>
  </si>
  <si>
    <t>Cricheroes number</t>
  </si>
  <si>
    <t>Payment</t>
  </si>
  <si>
    <t>Status</t>
  </si>
  <si>
    <t>Image</t>
  </si>
  <si>
    <t>Notes</t>
  </si>
  <si>
    <t>Total Players Needed</t>
  </si>
  <si>
    <t>Paid</t>
  </si>
  <si>
    <t>Remaining</t>
  </si>
  <si>
    <t>Arijit Roy</t>
  </si>
  <si>
    <t>Right hand batter</t>
  </si>
  <si>
    <t>Right arm bowler</t>
  </si>
  <si>
    <t>Both (bowler cannot switch in the same match)</t>
  </si>
  <si>
    <t>Non-veg</t>
  </si>
  <si>
    <t>https://drive.google.com/open?id=1GYoKt7n9nKtNm3OhdNXXuHfk5K4t1MNR</t>
  </si>
  <si>
    <t>Na</t>
  </si>
  <si>
    <t xml:space="preserve">Aman Jaiswal </t>
  </si>
  <si>
    <t>https://drive.google.com/open?id=1MJQ-gAoGTHDsWvMIWkIIia2UQfQZ81tf</t>
  </si>
  <si>
    <t>I want to participate as a Captain.</t>
  </si>
  <si>
    <t>Total Collection Required</t>
  </si>
  <si>
    <t>Collected</t>
  </si>
  <si>
    <t>Due</t>
  </si>
  <si>
    <t xml:space="preserve">Sawon Bhattacharya </t>
  </si>
  <si>
    <t>Full hand bowling</t>
  </si>
  <si>
    <t>https://drive.google.com/open?id=10r8HThmdwZImNTWnOAVBtjXoj0KwwwVc</t>
  </si>
  <si>
    <t>14Th June</t>
  </si>
  <si>
    <t xml:space="preserve">Harshit jaiswal </t>
  </si>
  <si>
    <t>https://drive.google.com/open?id=1gtTHY8iXMM8gbEjsYjHhCmvGxeakzoX7</t>
  </si>
  <si>
    <t>No</t>
  </si>
  <si>
    <t xml:space="preserve">Spandan Ganguly </t>
  </si>
  <si>
    <t>Throw</t>
  </si>
  <si>
    <t>https://drive.google.com/open?id=1S55Lf0_wBGR2SQDi56KOtK1pBMxfJMsu</t>
  </si>
  <si>
    <t xml:space="preserve">Nothing </t>
  </si>
  <si>
    <t xml:space="preserve">Sankar ghosh </t>
  </si>
  <si>
    <t>https://drive.google.com/open?id=1Cnu8DJMnlvHWgR4Etqe31cOJYT8_Eawh</t>
  </si>
  <si>
    <t xml:space="preserve">Arijit Lal </t>
  </si>
  <si>
    <t>https://drive.google.com/open?id=1dAQTAno74uagZag5__YHLgAZOpbXS0Yw</t>
  </si>
  <si>
    <t xml:space="preserve">Shantanu Chakroborty </t>
  </si>
  <si>
    <t>https://drive.google.com/open?id=1BgSOK86f3Qx_n9R5no2mMg7_RIp4WdnX</t>
  </si>
  <si>
    <t>BIJON MONDAL</t>
  </si>
  <si>
    <t>https://drive.google.com/open?id=18vnmc-ZsBTaPlSJMbDN4EwejSHk5pIaD</t>
  </si>
  <si>
    <t>Shyambazar Cricheroes</t>
  </si>
  <si>
    <t xml:space="preserve">Ankit Jaiswal </t>
  </si>
  <si>
    <t>https://drive.google.com/open?id=15H0dsU60tD86x1452Yom6E8R8ZdWWK_r</t>
  </si>
  <si>
    <t xml:space="preserve">Shubham Kumar </t>
  </si>
  <si>
    <t>https://drive.google.com/open?id=1gbXYoVE_ZCLO-96mCuopgHYqAavcU7Dm</t>
  </si>
  <si>
    <t xml:space="preserve">ANIRBAN PAUL </t>
  </si>
  <si>
    <t>https://drive.google.com/open?id=11icULVIJ75z_uRFxHyNwXan37eabOFkV</t>
  </si>
  <si>
    <t xml:space="preserve">Debashish Roy </t>
  </si>
  <si>
    <t>https://drive.google.com/open?id=12FsGW9yMtdQoicmkKV3JzeJrNNlrQcrx</t>
  </si>
  <si>
    <t xml:space="preserve">Timely match start karna </t>
  </si>
  <si>
    <t xml:space="preserve">Swapneel Chakraborty </t>
  </si>
  <si>
    <t>https://drive.google.com/open?id=1sfs6iMjc2X7cRm8zRwfi9-8pBg5bNdFc</t>
  </si>
  <si>
    <t>DRAGLEEOO ko captain mat banao</t>
  </si>
  <si>
    <t>DHRITIMAN DEY</t>
  </si>
  <si>
    <t>https://drive.google.com/open?id=1P2VyQ05qff0qu96psQqBd9snNGdLwCyF</t>
  </si>
  <si>
    <t>Bijan Mondal Reference</t>
  </si>
  <si>
    <t>Rahul Sen</t>
  </si>
  <si>
    <t>https://drive.google.com/open?id=11Q6C_SPO0Y7GG-dWOeNS9F9pJga_mtWH</t>
  </si>
  <si>
    <t>NA</t>
  </si>
  <si>
    <t>Mukundpur Cricheroes</t>
  </si>
  <si>
    <t>ROHIT GHOSH (BABAI)</t>
  </si>
  <si>
    <t>https://drive.google.com/open?id=1Lutb7jiS17qfv2Tsiej4xtj-fIVtwIRl</t>
  </si>
  <si>
    <t>Ujjawal Kumar Jha</t>
  </si>
  <si>
    <t>https://drive.google.com/open?id=1-4buFuqZdLECpbwTxpmhJjYUTdHVtdxY</t>
  </si>
  <si>
    <t>Dragleeoo gandu hai</t>
  </si>
  <si>
    <t>Jewel Johnson</t>
  </si>
  <si>
    <t>https://drive.google.com/open?id=129XbrfkwcRmRRyONOhFZmIFX53OPiP87</t>
  </si>
  <si>
    <t>500 paid for sunil as well</t>
  </si>
  <si>
    <t>Abhishek Sarkar</t>
  </si>
  <si>
    <t>https://drive.google.com/open?id=19ebheC2JW1zaQqTSlkraqwykHXEZxt7A</t>
  </si>
  <si>
    <t>Dont make me marquee , just an average player with average stats….</t>
  </si>
  <si>
    <t>AMD</t>
  </si>
  <si>
    <t>https://drive.google.com/open?id=1Q11XoRvhipc1zUxfgcmdqCQI4Jd4hfz-</t>
  </si>
  <si>
    <t>Umpire bahar se mangwao</t>
  </si>
  <si>
    <t>Subhashis Das</t>
  </si>
  <si>
    <t>https://drive.google.com/open?id=10qKFotFiwS5UqDKhhzsvQ8BtlV51QgQa</t>
  </si>
  <si>
    <t>Pls arrange the tournament in a neutral way...</t>
  </si>
  <si>
    <t xml:space="preserve">Soumyojit Bhattacharjee </t>
  </si>
  <si>
    <t>https://drive.google.com/open?id=1qbKs-ZeD03Nwv3FSbK6MMa9mzmmtEYHl</t>
  </si>
  <si>
    <t>Jit</t>
  </si>
  <si>
    <t>https://drive.google.com/open?id=1bSmtQ9vXLAKophQ54vd0coijkdmBT4VH</t>
  </si>
  <si>
    <t>ONE WORD, DON</t>
  </si>
  <si>
    <t>Indronil Das</t>
  </si>
  <si>
    <t>https://drive.google.com/open?id=1CYxgIgrKe3s3nNU_yy4EWbZGXnDjk-pR</t>
  </si>
  <si>
    <t>Avi Sengupta</t>
  </si>
  <si>
    <t>https://drive.google.com/open?id=1zwfKDnn8gBlmAOhZ-YBzs8PH6rh0wA3m</t>
  </si>
  <si>
    <t>Abhijeet Pal</t>
  </si>
  <si>
    <t>https://drive.google.com/open?id=1tW4k45_c9TCxasT6z7xSssouttWar80Q</t>
  </si>
  <si>
    <t>Samir</t>
  </si>
  <si>
    <t>Veg</t>
  </si>
  <si>
    <t>https://drive.google.com/open?id=1rgsGFEHqAQc_J_ns3uW5NSO-_tMUpd0k</t>
  </si>
  <si>
    <t xml:space="preserve">Arijit Kundu </t>
  </si>
  <si>
    <t>https://drive.google.com/open?id=1-Cj8OxDmwEyvEDKvEtFOPT6JtoSD5X1c</t>
  </si>
  <si>
    <t>Prince</t>
  </si>
  <si>
    <t>https://drive.google.com/open?id=1EnwmuOoVIY-kqAKVzm9k7m6E7E-rdXKc</t>
  </si>
  <si>
    <t>Anirban Guha</t>
  </si>
  <si>
    <t>https://drive.google.com/open?id=1awGd8GDpFClofR3birw2PDQK2Fhe7B4b</t>
  </si>
  <si>
    <t>I am Dinda ka brother</t>
  </si>
  <si>
    <t>sen</t>
  </si>
  <si>
    <t>Left hand batter</t>
  </si>
  <si>
    <t>https://drive.google.com/open?id=1jB2WItO5eJHGWn7P1BeuiqZW3U1q8s4C</t>
  </si>
  <si>
    <t>Salman</t>
  </si>
  <si>
    <t>https://drive.google.com/open?id=1CqczhtEOxvY0N0tHEchVBcjq7pA1fTH-</t>
  </si>
  <si>
    <t>Harshit Agarwal</t>
  </si>
  <si>
    <t>https://drive.google.com/open?id=1RUH7ZbPL86dpcA_0-ZQg4v_tPSQQ3sQm</t>
  </si>
  <si>
    <t>Good umpires, on time matches.</t>
  </si>
  <si>
    <t xml:space="preserve">BALARAM </t>
  </si>
  <si>
    <t>https://drive.google.com/open?id=1m8t-2V_7Ik2Mv5HsqT91qldMVeP2i2Cz</t>
  </si>
  <si>
    <t>Ananya Roy</t>
  </si>
  <si>
    <t>https://drive.google.com/open?id=1sJW_sFmI8vRtf-E2ErdFZ-mE6L9dhbZD</t>
  </si>
  <si>
    <t>Tias Chatterjee</t>
  </si>
  <si>
    <t>Left arm bowler</t>
  </si>
  <si>
    <t>https://drive.google.com/open?id=1Sv_Do71B3f9IdUi1xhO9TNxlPFQOPAA2</t>
  </si>
  <si>
    <t>Joy Mitra</t>
  </si>
  <si>
    <t>https://drive.google.com/open?id=16CSglA5xxp4jGjGdLhUxhimkAXOWjhRo</t>
  </si>
  <si>
    <t>Tushal</t>
  </si>
  <si>
    <t>https://drive.google.com/open?id=1AkMy_Nk300OBbl7VM1XvLM0YnONA9klB</t>
  </si>
  <si>
    <t>Sunil</t>
  </si>
  <si>
    <t>https://drive.google.com/open?id=1nVN512O6H8wlbwwP3J7n52Dq31eqGumB</t>
  </si>
  <si>
    <t>Jewel's Friend</t>
  </si>
  <si>
    <t xml:space="preserve">Arnab Nandy </t>
  </si>
  <si>
    <t>https://drive.google.com/open?id=1DMtGeJ_zUBZXTV3AChPbJGCrFzTWM767</t>
  </si>
  <si>
    <t>Koushik Mukherjee</t>
  </si>
  <si>
    <t>https://drive.google.com/open?id=1qVd6xyhkfY6_tOTjBufkL96Dbpb-o-8r</t>
  </si>
  <si>
    <t xml:space="preserve">Sarajit mondal </t>
  </si>
  <si>
    <t>https://drive.google.com/open?id=1EoAGj-Z3NOU8ObMHbYBwDJ5kbXZDJmuf</t>
  </si>
  <si>
    <t>Cricket is a gentleman's game, and as such, I hereby request that all players to play with same corresponding manner. Everyone having personal issues in their daily life, however cricket serves as an excellent remedy for stress, allowing us to play together and enjoy the day.</t>
  </si>
  <si>
    <t>Player ID</t>
  </si>
  <si>
    <t>Matches</t>
  </si>
  <si>
    <t>Innings</t>
  </si>
  <si>
    <t>Runs</t>
  </si>
  <si>
    <t>Avg</t>
  </si>
  <si>
    <t>SR</t>
  </si>
  <si>
    <t>Best Score</t>
  </si>
  <si>
    <t>Wickets</t>
  </si>
  <si>
    <t>Economy</t>
  </si>
  <si>
    <t>Fielding Dismissals</t>
  </si>
  <si>
    <t>Profile</t>
  </si>
  <si>
    <t>ANIRBAN PAUL</t>
  </si>
  <si>
    <t>34*</t>
  </si>
  <si>
    <t>Arijit roy</t>
  </si>
  <si>
    <t>HARSHIT JAISWAL</t>
  </si>
  <si>
    <t>Pritam Basu</t>
  </si>
  <si>
    <t>Spandan Ganguly</t>
  </si>
  <si>
    <t>26*</t>
  </si>
  <si>
    <t>Fardeen ali</t>
  </si>
  <si>
    <t>Sankar Ghosh</t>
  </si>
  <si>
    <t>Arijit</t>
  </si>
  <si>
    <t>50*</t>
  </si>
  <si>
    <t>Shantanu Chakraborty</t>
  </si>
  <si>
    <t>10*</t>
  </si>
  <si>
    <t>Bijon Mondal</t>
  </si>
  <si>
    <t>94*</t>
  </si>
  <si>
    <t>Ankit  Jaiswal</t>
  </si>
  <si>
    <t>Shubham Kumar</t>
  </si>
  <si>
    <t>Debashish Roy</t>
  </si>
  <si>
    <t>Swapneel Chakraborty</t>
  </si>
  <si>
    <t>Dhritiman Dey</t>
  </si>
  <si>
    <t>48*</t>
  </si>
  <si>
    <t>Rahul</t>
  </si>
  <si>
    <t>24*</t>
  </si>
  <si>
    <t>Rohit Ghosh</t>
  </si>
  <si>
    <t>38*</t>
  </si>
  <si>
    <t>Kuntal Das</t>
  </si>
  <si>
    <t>Ujjawal Jha</t>
  </si>
  <si>
    <t>83*</t>
  </si>
  <si>
    <t>Abhishek sarkar</t>
  </si>
  <si>
    <t>74*</t>
  </si>
  <si>
    <t>DRAGLEEOO</t>
  </si>
  <si>
    <t>114*</t>
  </si>
  <si>
    <t>Subhasish Das</t>
  </si>
  <si>
    <t>87*</t>
  </si>
  <si>
    <t>65*</t>
  </si>
  <si>
    <t>Aman Jaiswal</t>
  </si>
  <si>
    <t>39*</t>
  </si>
  <si>
    <t>Sawon Bhattacharya</t>
  </si>
  <si>
    <t>55*</t>
  </si>
  <si>
    <t>Avi sengupta</t>
  </si>
  <si>
    <t>Bony</t>
  </si>
  <si>
    <t>Avijit Pal Cricket Bhojerhat</t>
  </si>
  <si>
    <t>76*</t>
  </si>
  <si>
    <t>Sen</t>
  </si>
  <si>
    <t>61*</t>
  </si>
  <si>
    <t>Balaram Shil</t>
  </si>
  <si>
    <t>Harshit</t>
  </si>
  <si>
    <t>Ananya roy</t>
  </si>
  <si>
    <t>Tushal Shaw</t>
  </si>
  <si>
    <t>Tiyas Chatterjee</t>
  </si>
  <si>
    <t>Arnab Nandy</t>
  </si>
  <si>
    <t>SARAJIT</t>
  </si>
  <si>
    <t>107*</t>
  </si>
  <si>
    <t>Koushik</t>
  </si>
  <si>
    <t>12*</t>
  </si>
  <si>
    <t xml:space="preserve">Unsold </t>
  </si>
  <si>
    <t>Gaurav Chaudhary</t>
  </si>
  <si>
    <t xml:space="preserve">Pritam Basu </t>
  </si>
  <si>
    <t>Base Point</t>
  </si>
  <si>
    <t>Rahul Sem</t>
  </si>
  <si>
    <t>Full/ Throw</t>
  </si>
  <si>
    <t>Kuntal das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</si>
</sst>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0">
    <font>
      <sz val="10.0"/>
      <color rgb="FF000000"/>
      <name val="Arial"/>
      <scheme val="minor"/>
    </font>
    <font>
      <color theme="1"/>
      <name val="Arial"/>
      <scheme val="minor"/>
    </font>
    <font>
      <color rgb="FFFFFFFF"/>
      <name val="Arial"/>
      <scheme val="minor"/>
    </font>
    <font>
      <b/>
      <sz val="10.0"/>
      <color theme="1"/>
      <name val="Arial"/>
      <scheme val="minor"/>
    </font>
    <font>
      <u/>
      <color rgb="FF0000FF"/>
      <name val="Roboto"/>
    </font>
    <font>
      <color rgb="FFFF0000"/>
      <name val="Arial"/>
      <scheme val="minor"/>
    </font>
    <font>
      <b/>
      <sz val="15.0"/>
      <color theme="1"/>
      <name val="Arial"/>
      <scheme val="minor"/>
    </font>
    <font>
      <u/>
      <color rgb="FF0000FF"/>
      <name val="Roboto"/>
    </font>
    <font>
      <color rgb="FF000000"/>
      <name val="Arial"/>
      <scheme val="minor"/>
    </font>
    <font>
      <u/>
      <color rgb="FF434343"/>
      <name val="Roboto"/>
    </font>
    <font>
      <b/>
      <color theme="1"/>
      <name val="Arial"/>
      <scheme val="minor"/>
    </font>
    <font>
      <u/>
      <sz val="9.0"/>
      <color rgb="FF1F1F1F"/>
      <name val="Arial"/>
    </font>
    <font>
      <u/>
      <color rgb="FF0000FF"/>
    </font>
    <font>
      <sz val="9.0"/>
      <color rgb="FF1F1F1F"/>
      <name val="System-ui"/>
    </font>
    <font>
      <b/>
      <sz val="8.0"/>
      <color theme="1"/>
      <name val="Arial"/>
      <scheme val="minor"/>
    </font>
    <font>
      <sz val="8.0"/>
      <color theme="1"/>
      <name val="Arial"/>
      <scheme val="minor"/>
    </font>
    <font>
      <sz val="10.0"/>
      <color theme="1"/>
      <name val="Arial"/>
      <scheme val="minor"/>
    </font>
    <font>
      <b/>
      <sz val="22.0"/>
      <color theme="1"/>
      <name val="Arial"/>
      <scheme val="minor"/>
    </font>
    <font>
      <b/>
      <sz val="18.0"/>
      <color theme="1"/>
      <name val="Arial"/>
      <scheme val="minor"/>
    </font>
    <font/>
  </fonts>
  <fills count="10">
    <fill>
      <patternFill patternType="none"/>
    </fill>
    <fill>
      <patternFill patternType="lightGray"/>
    </fill>
    <fill>
      <patternFill patternType="solid">
        <fgColor rgb="FF00FFFF"/>
        <bgColor rgb="FF00FFFF"/>
      </patternFill>
    </fill>
    <fill>
      <patternFill patternType="solid">
        <fgColor rgb="FF00FF00"/>
        <bgColor rgb="FF00FF00"/>
      </patternFill>
    </fill>
    <fill>
      <patternFill patternType="solid">
        <fgColor rgb="FFEA9999"/>
        <bgColor rgb="FFEA9999"/>
      </patternFill>
    </fill>
    <fill>
      <patternFill patternType="solid">
        <fgColor rgb="FFFFFFFF"/>
        <bgColor rgb="FFFFFFFF"/>
      </patternFill>
    </fill>
    <fill>
      <patternFill patternType="solid">
        <fgColor rgb="FFFFFF00"/>
        <bgColor rgb="FFFFFF00"/>
      </patternFill>
    </fill>
    <fill>
      <patternFill patternType="solid">
        <fgColor rgb="FFCFE2F3"/>
        <bgColor rgb="FFCFE2F3"/>
      </patternFill>
    </fill>
    <fill>
      <patternFill patternType="solid">
        <fgColor rgb="FFFFF2CC"/>
        <bgColor rgb="FFFFF2CC"/>
      </patternFill>
    </fill>
    <fill>
      <patternFill patternType="solid">
        <fgColor rgb="FFC9DAF8"/>
        <bgColor rgb="FFC9DAF8"/>
      </patternFill>
    </fill>
  </fills>
  <borders count="11">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3" numFmtId="0" xfId="0" applyAlignment="1" applyFont="1">
      <alignment horizontal="center" readingOrder="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4"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5" numFmtId="0" xfId="0" applyAlignment="1" applyFont="1">
      <alignment shrinkToFit="0" vertical="center" wrapText="0"/>
    </xf>
    <xf borderId="0" fillId="0" fontId="5" numFmtId="0" xfId="0" applyAlignment="1" applyFont="1">
      <alignment shrinkToFit="0" vertical="center" wrapText="0"/>
    </xf>
    <xf borderId="0" fillId="2" fontId="6" numFmtId="0" xfId="0" applyAlignment="1" applyFill="1" applyFont="1">
      <alignment horizontal="center" readingOrder="0"/>
    </xf>
    <xf borderId="0" fillId="3" fontId="6" numFmtId="0" xfId="0" applyAlignment="1" applyFill="1" applyFont="1">
      <alignment horizontal="center"/>
    </xf>
    <xf borderId="0" fillId="4" fontId="6" numFmtId="0" xfId="0" applyAlignment="1" applyFill="1" applyFont="1">
      <alignment horizontal="center"/>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7" numFmtId="0" xfId="0" applyAlignment="1" applyFont="1">
      <alignment readingOrder="0" shrinkToFit="0" vertical="center" wrapText="0"/>
    </xf>
    <xf borderId="0" fillId="0" fontId="8" numFmtId="0" xfId="0" applyAlignment="1" applyFont="1">
      <alignment readingOrder="0" shrinkToFit="0" vertical="center" wrapText="0"/>
    </xf>
    <xf borderId="0" fillId="0" fontId="1" numFmtId="0" xfId="0" applyAlignment="1" applyFont="1">
      <alignment shrinkToFit="0" vertical="center" wrapText="0"/>
    </xf>
    <xf borderId="0" fillId="0" fontId="9" numFmtId="0" xfId="0" applyAlignment="1" applyFont="1">
      <alignment readingOrder="0" shrinkToFit="0" vertical="center" wrapText="0"/>
    </xf>
    <xf borderId="0" fillId="0" fontId="5" numFmtId="0" xfId="0" applyFont="1"/>
    <xf borderId="0" fillId="0" fontId="10" numFmtId="0" xfId="0" applyAlignment="1" applyFont="1">
      <alignment readingOrder="0"/>
    </xf>
    <xf borderId="0" fillId="0" fontId="10" numFmtId="0" xfId="0" applyAlignment="1" applyFont="1">
      <alignment horizontal="center" readingOrder="0"/>
    </xf>
    <xf borderId="0" fillId="0" fontId="10" numFmtId="0" xfId="0" applyAlignment="1" applyFont="1">
      <alignment horizontal="right" readingOrder="0"/>
    </xf>
    <xf borderId="0" fillId="5" fontId="11" numFmtId="0" xfId="0" applyAlignment="1" applyFill="1" applyFont="1">
      <alignment readingOrder="0"/>
    </xf>
    <xf borderId="0" fillId="0" fontId="1" numFmtId="0" xfId="0" applyAlignment="1" applyFont="1">
      <alignment readingOrder="0"/>
    </xf>
    <xf borderId="0" fillId="0" fontId="1" numFmtId="0" xfId="0" applyAlignment="1" applyFont="1">
      <alignment horizontal="right" readingOrder="0"/>
    </xf>
    <xf borderId="0" fillId="0" fontId="12" numFmtId="0" xfId="0" applyFont="1"/>
    <xf borderId="0" fillId="0" fontId="1" numFmtId="0" xfId="0" applyAlignment="1" applyFont="1">
      <alignment readingOrder="0"/>
    </xf>
    <xf borderId="0" fillId="0" fontId="1" numFmtId="0" xfId="0" applyFont="1"/>
    <xf borderId="0" fillId="5" fontId="13" numFmtId="0" xfId="0" applyAlignment="1" applyFont="1">
      <alignment readingOrder="0"/>
    </xf>
    <xf borderId="0" fillId="0" fontId="1" numFmtId="0" xfId="0" applyAlignment="1" applyFont="1">
      <alignment horizontal="right"/>
    </xf>
    <xf borderId="0" fillId="0" fontId="14" numFmtId="0" xfId="0" applyAlignment="1" applyFont="1">
      <alignment readingOrder="0"/>
    </xf>
    <xf borderId="0" fillId="0" fontId="1" numFmtId="0" xfId="0" applyFont="1"/>
    <xf borderId="0" fillId="0" fontId="15" numFmtId="0" xfId="0" applyAlignment="1" applyFont="1">
      <alignment readingOrder="0"/>
    </xf>
    <xf borderId="0" fillId="6" fontId="1" numFmtId="0" xfId="0" applyAlignment="1" applyFill="1" applyFont="1">
      <alignment readingOrder="0"/>
    </xf>
    <xf borderId="0" fillId="7" fontId="16" numFmtId="0" xfId="0" applyAlignment="1" applyFill="1" applyFont="1">
      <alignment readingOrder="0"/>
    </xf>
    <xf borderId="0" fillId="0" fontId="17" numFmtId="0" xfId="0" applyAlignment="1" applyFont="1">
      <alignment horizontal="center" vertical="center"/>
    </xf>
    <xf borderId="0" fillId="0" fontId="3" numFmtId="0" xfId="0" applyAlignment="1" applyFont="1">
      <alignment horizontal="left" readingOrder="0"/>
    </xf>
    <xf borderId="0" fillId="7" fontId="15" numFmtId="0" xfId="0" applyAlignment="1" applyFont="1">
      <alignment readingOrder="0"/>
    </xf>
    <xf borderId="1" fillId="0" fontId="18" numFmtId="0" xfId="0" applyAlignment="1" applyBorder="1" applyFont="1">
      <alignment horizontal="center" vertical="center"/>
    </xf>
    <xf borderId="2" fillId="0" fontId="19" numFmtId="0" xfId="0" applyBorder="1" applyFont="1"/>
    <xf borderId="3" fillId="0" fontId="19" numFmtId="0" xfId="0" applyBorder="1" applyFont="1"/>
    <xf borderId="4" fillId="0" fontId="19" numFmtId="0" xfId="0" applyBorder="1" applyFont="1"/>
    <xf borderId="5" fillId="0" fontId="19" numFmtId="0" xfId="0" applyBorder="1" applyFont="1"/>
    <xf borderId="6" fillId="0" fontId="19" numFmtId="0" xfId="0" applyBorder="1" applyFont="1"/>
    <xf borderId="7" fillId="8" fontId="10" numFmtId="0" xfId="0" applyAlignment="1" applyBorder="1" applyFill="1" applyFont="1">
      <alignment readingOrder="0"/>
    </xf>
    <xf borderId="8" fillId="9" fontId="10" numFmtId="0" xfId="0" applyAlignment="1" applyBorder="1" applyFill="1" applyFont="1">
      <alignment horizontal="left"/>
    </xf>
    <xf borderId="9" fillId="0" fontId="19" numFmtId="0" xfId="0" applyBorder="1" applyFont="1"/>
    <xf borderId="10" fillId="0" fontId="19" numFmtId="0" xfId="0" applyBorder="1" applyFont="1"/>
    <xf borderId="0" fillId="0" fontId="15" numFmtId="0" xfId="0" applyFont="1"/>
  </cellXfs>
  <cellStyles count="1">
    <cellStyle xfId="0" name="Normal" builtinId="0"/>
  </cellStyles>
  <dxfs count="7">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
      <font/>
      <fill>
        <patternFill patternType="solid">
          <fgColor rgb="FFB7E1CD"/>
          <bgColor rgb="FFB7E1CD"/>
        </patternFill>
      </fill>
      <border/>
    </dxf>
    <dxf>
      <font/>
      <fill>
        <patternFill patternType="solid">
          <fgColor rgb="FFFFFF00"/>
          <bgColor rgb="FFFFFF00"/>
        </patternFill>
      </fill>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O44" displayName="Form_Responses" name="Form_Responses" id="1">
  <autoFilter ref="$A$1:$O$44"/>
  <tableColumns count="15">
    <tableColumn name="Timestamp" id="1"/>
    <tableColumn name="Name" id="2"/>
    <tableColumn name="Whatsapp number" id="3"/>
    <tableColumn name="Batting" id="4"/>
    <tableColumn name="Bowling" id="5"/>
    <tableColumn name="Bowling preference" id="6"/>
    <tableColumn name="Rate yourself out of 10." id="7"/>
    <tableColumn name="Food preference" id="8"/>
    <tableColumn name="Photo" id="9"/>
    <tableColumn name="Any suggestions?" id="10"/>
    <tableColumn name="Cricheroes number" id="11"/>
    <tableColumn name="Payment" id="12"/>
    <tableColumn name="Status" id="13"/>
    <tableColumn name="Image" id="14"/>
    <tableColumn name="Notes" id="15"/>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open?id=1nVN512O6H8wlbwwP3J7n52Dq31eqGumB" TargetMode="External"/><Relationship Id="rId20" Type="http://schemas.openxmlformats.org/officeDocument/2006/relationships/hyperlink" Target="https://drive.google.com/open?id=19ebheC2JW1zaQqTSlkraqwykHXEZxt7A" TargetMode="External"/><Relationship Id="rId42" Type="http://schemas.openxmlformats.org/officeDocument/2006/relationships/hyperlink" Target="https://drive.google.com/open?id=1qVd6xyhkfY6_tOTjBufkL96Dbpb-o-8r" TargetMode="External"/><Relationship Id="rId41" Type="http://schemas.openxmlformats.org/officeDocument/2006/relationships/hyperlink" Target="https://drive.google.com/open?id=1DMtGeJ_zUBZXTV3AChPbJGCrFzTWM767" TargetMode="External"/><Relationship Id="rId22" Type="http://schemas.openxmlformats.org/officeDocument/2006/relationships/hyperlink" Target="https://drive.google.com/open?id=10qKFotFiwS5UqDKhhzsvQ8BtlV51QgQa" TargetMode="External"/><Relationship Id="rId44" Type="http://schemas.openxmlformats.org/officeDocument/2006/relationships/drawing" Target="../drawings/drawing1.xml"/><Relationship Id="rId21" Type="http://schemas.openxmlformats.org/officeDocument/2006/relationships/hyperlink" Target="https://drive.google.com/open?id=1Q11XoRvhipc1zUxfgcmdqCQI4Jd4hfz-" TargetMode="External"/><Relationship Id="rId43" Type="http://schemas.openxmlformats.org/officeDocument/2006/relationships/hyperlink" Target="https://drive.google.com/open?id=1EoAGj-Z3NOU8ObMHbYBwDJ5kbXZDJmuf" TargetMode="External"/><Relationship Id="rId24" Type="http://schemas.openxmlformats.org/officeDocument/2006/relationships/hyperlink" Target="https://drive.google.com/open?id=1bSmtQ9vXLAKophQ54vd0coijkdmBT4VH" TargetMode="External"/><Relationship Id="rId46" Type="http://schemas.openxmlformats.org/officeDocument/2006/relationships/table" Target="../tables/table1.xml"/><Relationship Id="rId23" Type="http://schemas.openxmlformats.org/officeDocument/2006/relationships/hyperlink" Target="https://drive.google.com/open?id=1qbKs-ZeD03Nwv3FSbK6MMa9mzmmtEYHl" TargetMode="External"/><Relationship Id="rId1" Type="http://schemas.openxmlformats.org/officeDocument/2006/relationships/hyperlink" Target="https://drive.google.com/open?id=1GYoKt7n9nKtNm3OhdNXXuHfk5K4t1MNR" TargetMode="External"/><Relationship Id="rId2" Type="http://schemas.openxmlformats.org/officeDocument/2006/relationships/hyperlink" Target="https://drive.google.com/open?id=1MJQ-gAoGTHDsWvMIWkIIia2UQfQZ81tf" TargetMode="External"/><Relationship Id="rId3" Type="http://schemas.openxmlformats.org/officeDocument/2006/relationships/hyperlink" Target="https://drive.google.com/open?id=10r8HThmdwZImNTWnOAVBtjXoj0KwwwVc" TargetMode="External"/><Relationship Id="rId4" Type="http://schemas.openxmlformats.org/officeDocument/2006/relationships/hyperlink" Target="https://drive.google.com/open?id=1gtTHY8iXMM8gbEjsYjHhCmvGxeakzoX7" TargetMode="External"/><Relationship Id="rId9" Type="http://schemas.openxmlformats.org/officeDocument/2006/relationships/hyperlink" Target="https://drive.google.com/open?id=18vnmc-ZsBTaPlSJMbDN4EwejSHk5pIaD" TargetMode="External"/><Relationship Id="rId26" Type="http://schemas.openxmlformats.org/officeDocument/2006/relationships/hyperlink" Target="https://drive.google.com/open?id=1zwfKDnn8gBlmAOhZ-YBzs8PH6rh0wA3m" TargetMode="External"/><Relationship Id="rId25" Type="http://schemas.openxmlformats.org/officeDocument/2006/relationships/hyperlink" Target="https://drive.google.com/open?id=1CYxgIgrKe3s3nNU_yy4EWbZGXnDjk-pR" TargetMode="External"/><Relationship Id="rId28" Type="http://schemas.openxmlformats.org/officeDocument/2006/relationships/hyperlink" Target="https://drive.google.com/open?id=1rgsGFEHqAQc_J_ns3uW5NSO-_tMUpd0k" TargetMode="External"/><Relationship Id="rId27" Type="http://schemas.openxmlformats.org/officeDocument/2006/relationships/hyperlink" Target="https://drive.google.com/open?id=1tW4k45_c9TCxasT6z7xSssouttWar80Q" TargetMode="External"/><Relationship Id="rId5" Type="http://schemas.openxmlformats.org/officeDocument/2006/relationships/hyperlink" Target="https://drive.google.com/open?id=1S55Lf0_wBGR2SQDi56KOtK1pBMxfJMsu" TargetMode="External"/><Relationship Id="rId6" Type="http://schemas.openxmlformats.org/officeDocument/2006/relationships/hyperlink" Target="https://drive.google.com/open?id=1Cnu8DJMnlvHWgR4Etqe31cOJYT8_Eawh" TargetMode="External"/><Relationship Id="rId29" Type="http://schemas.openxmlformats.org/officeDocument/2006/relationships/hyperlink" Target="https://drive.google.com/open?id=1-Cj8OxDmwEyvEDKvEtFOPT6JtoSD5X1c" TargetMode="External"/><Relationship Id="rId7" Type="http://schemas.openxmlformats.org/officeDocument/2006/relationships/hyperlink" Target="https://drive.google.com/open?id=1dAQTAno74uagZag5__YHLgAZOpbXS0Yw" TargetMode="External"/><Relationship Id="rId8" Type="http://schemas.openxmlformats.org/officeDocument/2006/relationships/hyperlink" Target="https://drive.google.com/open?id=1BgSOK86f3Qx_n9R5no2mMg7_RIp4WdnX" TargetMode="External"/><Relationship Id="rId31" Type="http://schemas.openxmlformats.org/officeDocument/2006/relationships/hyperlink" Target="https://drive.google.com/open?id=1awGd8GDpFClofR3birw2PDQK2Fhe7B4b" TargetMode="External"/><Relationship Id="rId30" Type="http://schemas.openxmlformats.org/officeDocument/2006/relationships/hyperlink" Target="https://drive.google.com/open?id=1EnwmuOoVIY-kqAKVzm9k7m6E7E-rdXKc" TargetMode="External"/><Relationship Id="rId11" Type="http://schemas.openxmlformats.org/officeDocument/2006/relationships/hyperlink" Target="https://drive.google.com/open?id=1gbXYoVE_ZCLO-96mCuopgHYqAavcU7Dm" TargetMode="External"/><Relationship Id="rId33" Type="http://schemas.openxmlformats.org/officeDocument/2006/relationships/hyperlink" Target="https://drive.google.com/open?id=1CqczhtEOxvY0N0tHEchVBcjq7pA1fTH-" TargetMode="External"/><Relationship Id="rId10" Type="http://schemas.openxmlformats.org/officeDocument/2006/relationships/hyperlink" Target="https://drive.google.com/open?id=15H0dsU60tD86x1452Yom6E8R8ZdWWK_r" TargetMode="External"/><Relationship Id="rId32" Type="http://schemas.openxmlformats.org/officeDocument/2006/relationships/hyperlink" Target="https://drive.google.com/open?id=1jB2WItO5eJHGWn7P1BeuiqZW3U1q8s4C" TargetMode="External"/><Relationship Id="rId13" Type="http://schemas.openxmlformats.org/officeDocument/2006/relationships/hyperlink" Target="https://drive.google.com/open?id=12FsGW9yMtdQoicmkKV3JzeJrNNlrQcrx" TargetMode="External"/><Relationship Id="rId35" Type="http://schemas.openxmlformats.org/officeDocument/2006/relationships/hyperlink" Target="https://drive.google.com/open?id=1m8t-2V_7Ik2Mv5HsqT91qldMVeP2i2Cz" TargetMode="External"/><Relationship Id="rId12" Type="http://schemas.openxmlformats.org/officeDocument/2006/relationships/hyperlink" Target="https://drive.google.com/open?id=11icULVIJ75z_uRFxHyNwXan37eabOFkV" TargetMode="External"/><Relationship Id="rId34" Type="http://schemas.openxmlformats.org/officeDocument/2006/relationships/hyperlink" Target="https://drive.google.com/open?id=1RUH7ZbPL86dpcA_0-ZQg4v_tPSQQ3sQm" TargetMode="External"/><Relationship Id="rId15" Type="http://schemas.openxmlformats.org/officeDocument/2006/relationships/hyperlink" Target="https://drive.google.com/open?id=1P2VyQ05qff0qu96psQqBd9snNGdLwCyF" TargetMode="External"/><Relationship Id="rId37" Type="http://schemas.openxmlformats.org/officeDocument/2006/relationships/hyperlink" Target="https://drive.google.com/open?id=1Sv_Do71B3f9IdUi1xhO9TNxlPFQOPAA2" TargetMode="External"/><Relationship Id="rId14" Type="http://schemas.openxmlformats.org/officeDocument/2006/relationships/hyperlink" Target="https://drive.google.com/open?id=1sfs6iMjc2X7cRm8zRwfi9-8pBg5bNdFc" TargetMode="External"/><Relationship Id="rId36" Type="http://schemas.openxmlformats.org/officeDocument/2006/relationships/hyperlink" Target="https://drive.google.com/open?id=1sJW_sFmI8vRtf-E2ErdFZ-mE6L9dhbZD" TargetMode="External"/><Relationship Id="rId17" Type="http://schemas.openxmlformats.org/officeDocument/2006/relationships/hyperlink" Target="https://drive.google.com/open?id=1Lutb7jiS17qfv2Tsiej4xtj-fIVtwIRl" TargetMode="External"/><Relationship Id="rId39" Type="http://schemas.openxmlformats.org/officeDocument/2006/relationships/hyperlink" Target="https://drive.google.com/open?id=1AkMy_Nk300OBbl7VM1XvLM0YnONA9klB" TargetMode="External"/><Relationship Id="rId16" Type="http://schemas.openxmlformats.org/officeDocument/2006/relationships/hyperlink" Target="https://drive.google.com/open?id=11Q6C_SPO0Y7GG-dWOeNS9F9pJga_mtWH" TargetMode="External"/><Relationship Id="rId38" Type="http://schemas.openxmlformats.org/officeDocument/2006/relationships/hyperlink" Target="https://drive.google.com/open?id=16CSglA5xxp4jGjGdLhUxhimkAXOWjhRo" TargetMode="External"/><Relationship Id="rId19" Type="http://schemas.openxmlformats.org/officeDocument/2006/relationships/hyperlink" Target="https://drive.google.com/open?id=129XbrfkwcRmRRyONOhFZmIFX53OPiP87" TargetMode="External"/><Relationship Id="rId18" Type="http://schemas.openxmlformats.org/officeDocument/2006/relationships/hyperlink" Target="https://drive.google.com/open?id=1-4buFuqZdLECpbwTxpmhJjYUTdHVtdxY"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hidden="1" min="1" max="1" width="18.88"/>
    <col customWidth="1" min="2" max="2" width="19.38"/>
    <col customWidth="1" min="3" max="3" width="19.13"/>
    <col customWidth="1" hidden="1" min="4" max="5" width="18.88"/>
    <col customWidth="1" hidden="1" min="6" max="6" width="37.25"/>
    <col customWidth="1" hidden="1" min="7" max="7" width="22.25"/>
    <col customWidth="1" min="8" max="8" width="13.5"/>
    <col customWidth="1" min="9" max="9" width="60.63"/>
    <col customWidth="1" hidden="1" min="10" max="10" width="33.88"/>
    <col customWidth="1" hidden="1" min="11" max="11" width="18.88"/>
    <col customWidth="1" min="12" max="12" width="12.0"/>
    <col customWidth="1" min="13" max="13" width="18.88"/>
    <col customWidth="1" hidden="1" min="14" max="14" width="10.13"/>
    <col customWidth="1" min="15" max="15" width="23.75"/>
    <col customWidth="1" min="16" max="16" width="22.63"/>
    <col customWidth="1" min="17" max="30" width="18.88"/>
  </cols>
  <sheetData>
    <row r="1" ht="22.5" customHeight="1">
      <c r="A1" s="1" t="s">
        <v>0</v>
      </c>
      <c r="B1" s="1" t="s">
        <v>1</v>
      </c>
      <c r="C1" s="1" t="s">
        <v>2</v>
      </c>
      <c r="D1" s="1" t="s">
        <v>3</v>
      </c>
      <c r="E1" s="1" t="s">
        <v>4</v>
      </c>
      <c r="F1" s="1" t="s">
        <v>5</v>
      </c>
      <c r="G1" s="1" t="s">
        <v>6</v>
      </c>
      <c r="H1" s="1" t="s">
        <v>7</v>
      </c>
      <c r="I1" s="1" t="s">
        <v>8</v>
      </c>
      <c r="J1" s="1" t="s">
        <v>9</v>
      </c>
      <c r="K1" s="2" t="s">
        <v>10</v>
      </c>
      <c r="L1" s="2" t="s">
        <v>11</v>
      </c>
      <c r="M1" s="2" t="s">
        <v>12</v>
      </c>
      <c r="N1" s="3" t="s">
        <v>13</v>
      </c>
      <c r="O1" s="4" t="s">
        <v>14</v>
      </c>
      <c r="P1" s="5" t="s">
        <v>15</v>
      </c>
      <c r="Q1" s="5" t="s">
        <v>16</v>
      </c>
      <c r="R1" s="5" t="s">
        <v>17</v>
      </c>
    </row>
    <row r="2" ht="22.5" customHeight="1">
      <c r="A2" s="6">
        <v>46165.554645462966</v>
      </c>
      <c r="B2" s="7" t="s">
        <v>18</v>
      </c>
      <c r="C2" s="7">
        <v>7.003813326E9</v>
      </c>
      <c r="D2" s="7" t="s">
        <v>19</v>
      </c>
      <c r="E2" s="7" t="s">
        <v>20</v>
      </c>
      <c r="F2" s="7" t="s">
        <v>21</v>
      </c>
      <c r="G2" s="7">
        <v>8.0</v>
      </c>
      <c r="H2" s="7" t="s">
        <v>22</v>
      </c>
      <c r="I2" s="8" t="s">
        <v>23</v>
      </c>
      <c r="J2" s="7" t="s">
        <v>24</v>
      </c>
      <c r="K2" s="9"/>
      <c r="L2" s="7">
        <v>500.0</v>
      </c>
      <c r="M2" s="10" t="str">
        <f t="shared" ref="M2:M44" si="1">IF(OR(L2=500,L2=800),"Complete","Pending")</f>
        <v>Complete</v>
      </c>
      <c r="N2" s="11" t="str">
        <f>IFERROR(__xludf.DUMMYFUNCTION("IMAGE(""https://drive.google.com/uc?export=view&amp;id=""&amp;REGEXEXTRACT(I2,""id=([^&amp;]+)""))"),"")</f>
        <v/>
      </c>
      <c r="O2" s="12"/>
      <c r="P2" s="13">
        <v>40.0</v>
      </c>
      <c r="Q2" s="14">
        <f>COUNTIFS(Form_Responses[[#ALL],[Status]],"Complete")</f>
        <v>31</v>
      </c>
      <c r="R2" s="15">
        <f>P2-Q2</f>
        <v>9</v>
      </c>
    </row>
    <row r="3" ht="22.5" customHeight="1">
      <c r="A3" s="6">
        <v>46165.556744270834</v>
      </c>
      <c r="B3" s="7" t="s">
        <v>25</v>
      </c>
      <c r="C3" s="7">
        <v>9.088787359E9</v>
      </c>
      <c r="D3" s="7" t="s">
        <v>19</v>
      </c>
      <c r="E3" s="7" t="s">
        <v>20</v>
      </c>
      <c r="F3" s="7" t="s">
        <v>21</v>
      </c>
      <c r="G3" s="7">
        <v>7.0</v>
      </c>
      <c r="H3" s="7" t="s">
        <v>22</v>
      </c>
      <c r="I3" s="8" t="s">
        <v>26</v>
      </c>
      <c r="J3" s="7" t="s">
        <v>27</v>
      </c>
      <c r="K3" s="9"/>
      <c r="L3" s="7">
        <v>800.0</v>
      </c>
      <c r="M3" s="10" t="str">
        <f t="shared" si="1"/>
        <v>Complete</v>
      </c>
      <c r="N3" s="11" t="str">
        <f>IFERROR(__xludf.DUMMYFUNCTION("IMAGE(""https://drive.google.com/uc?export=view&amp;id=""&amp;REGEXEXTRACT(I3,""id=([^&amp;]+)""))"),"")</f>
        <v/>
      </c>
      <c r="O3" s="12"/>
      <c r="P3" s="5" t="s">
        <v>28</v>
      </c>
      <c r="Q3" s="5" t="s">
        <v>29</v>
      </c>
      <c r="R3" s="5" t="s">
        <v>30</v>
      </c>
    </row>
    <row r="4" ht="22.5" customHeight="1">
      <c r="A4" s="6">
        <v>46165.56015783564</v>
      </c>
      <c r="B4" s="7" t="s">
        <v>31</v>
      </c>
      <c r="C4" s="7">
        <v>8.013276482E9</v>
      </c>
      <c r="D4" s="7" t="s">
        <v>19</v>
      </c>
      <c r="E4" s="7" t="s">
        <v>20</v>
      </c>
      <c r="F4" s="7" t="s">
        <v>32</v>
      </c>
      <c r="G4" s="7">
        <v>7.0</v>
      </c>
      <c r="H4" s="7" t="s">
        <v>22</v>
      </c>
      <c r="I4" s="8" t="s">
        <v>33</v>
      </c>
      <c r="J4" s="7" t="s">
        <v>34</v>
      </c>
      <c r="K4" s="9"/>
      <c r="L4" s="7">
        <v>800.0</v>
      </c>
      <c r="M4" s="10" t="str">
        <f t="shared" si="1"/>
        <v>Complete</v>
      </c>
      <c r="N4" s="11" t="str">
        <f>IFERROR(__xludf.DUMMYFUNCTION("IMAGE(""https://drive.google.com/uc?export=view&amp;id=""&amp;REGEXEXTRACT(I4,""id=([^&amp;]+)""))"),"")</f>
        <v/>
      </c>
      <c r="O4" s="12"/>
      <c r="P4" s="13">
        <f>(500*36)+(4*800)</f>
        <v>21200</v>
      </c>
      <c r="Q4" s="14">
        <f>SUMIFS(Form_Responses[[#ALL],[Payment]],Form_Responses[[#ALL],[Status]],"Complete")</f>
        <v>16700</v>
      </c>
      <c r="R4" s="15">
        <f>P4-Q4</f>
        <v>4500</v>
      </c>
    </row>
    <row r="5" ht="22.5" customHeight="1">
      <c r="A5" s="6">
        <v>46165.57115462963</v>
      </c>
      <c r="B5" s="7" t="s">
        <v>35</v>
      </c>
      <c r="C5" s="7">
        <v>7.439658397E9</v>
      </c>
      <c r="D5" s="7" t="s">
        <v>19</v>
      </c>
      <c r="E5" s="7" t="s">
        <v>20</v>
      </c>
      <c r="F5" s="7" t="s">
        <v>32</v>
      </c>
      <c r="G5" s="7">
        <v>7.0</v>
      </c>
      <c r="H5" s="7" t="s">
        <v>22</v>
      </c>
      <c r="I5" s="8" t="s">
        <v>36</v>
      </c>
      <c r="J5" s="7" t="s">
        <v>37</v>
      </c>
      <c r="K5" s="9"/>
      <c r="L5" s="7">
        <v>500.0</v>
      </c>
      <c r="M5" s="10" t="str">
        <f t="shared" si="1"/>
        <v>Complete</v>
      </c>
      <c r="N5" s="11" t="str">
        <f>IFERROR(__xludf.DUMMYFUNCTION("IMAGE(""https://drive.google.com/uc?export=view&amp;id=""&amp;REGEXEXTRACT(I5,""id=([^&amp;]+)""))"),"")</f>
        <v/>
      </c>
      <c r="O5" s="12"/>
    </row>
    <row r="6" ht="22.5" customHeight="1">
      <c r="A6" s="6">
        <v>46165.58146752315</v>
      </c>
      <c r="B6" s="7" t="s">
        <v>38</v>
      </c>
      <c r="C6" s="7">
        <v>6.291007374E9</v>
      </c>
      <c r="D6" s="7" t="s">
        <v>19</v>
      </c>
      <c r="E6" s="7" t="s">
        <v>20</v>
      </c>
      <c r="F6" s="7" t="s">
        <v>39</v>
      </c>
      <c r="G6" s="7">
        <v>5.0</v>
      </c>
      <c r="H6" s="7" t="s">
        <v>22</v>
      </c>
      <c r="I6" s="8" t="s">
        <v>40</v>
      </c>
      <c r="J6" s="7" t="s">
        <v>41</v>
      </c>
      <c r="K6" s="9"/>
      <c r="L6" s="9"/>
      <c r="M6" s="10" t="str">
        <f t="shared" si="1"/>
        <v>Pending</v>
      </c>
      <c r="N6" s="11" t="str">
        <f>IFERROR(__xludf.DUMMYFUNCTION("IMAGE(""https://drive.google.com/uc?export=view&amp;id=""&amp;REGEXEXTRACT(I6,""id=([^&amp;]+)""))"),"")</f>
        <v/>
      </c>
      <c r="O6" s="12"/>
    </row>
    <row r="7" ht="22.5" customHeight="1">
      <c r="A7" s="6">
        <v>46165.60908988426</v>
      </c>
      <c r="B7" s="7" t="s">
        <v>42</v>
      </c>
      <c r="C7" s="7">
        <v>7.003378345E9</v>
      </c>
      <c r="D7" s="7" t="s">
        <v>19</v>
      </c>
      <c r="E7" s="7" t="s">
        <v>20</v>
      </c>
      <c r="F7" s="7" t="s">
        <v>21</v>
      </c>
      <c r="G7" s="7">
        <v>8.0</v>
      </c>
      <c r="H7" s="7" t="s">
        <v>22</v>
      </c>
      <c r="I7" s="8" t="s">
        <v>43</v>
      </c>
      <c r="J7" s="7" t="s">
        <v>37</v>
      </c>
      <c r="K7" s="9"/>
      <c r="L7" s="9"/>
      <c r="M7" s="10" t="str">
        <f t="shared" si="1"/>
        <v>Pending</v>
      </c>
      <c r="N7" s="11" t="str">
        <f>IFERROR(__xludf.DUMMYFUNCTION("IMAGE(""https://drive.google.com/uc?export=view&amp;id=""&amp;REGEXEXTRACT(I7,""id=([^&amp;]+)""))"),"")</f>
        <v/>
      </c>
      <c r="O7" s="12"/>
    </row>
    <row r="8" ht="22.5" customHeight="1">
      <c r="A8" s="6">
        <v>46165.626659988426</v>
      </c>
      <c r="B8" s="7" t="s">
        <v>44</v>
      </c>
      <c r="C8" s="7">
        <v>9.547008025E9</v>
      </c>
      <c r="D8" s="7" t="s">
        <v>19</v>
      </c>
      <c r="E8" s="7" t="s">
        <v>20</v>
      </c>
      <c r="F8" s="7" t="s">
        <v>21</v>
      </c>
      <c r="G8" s="7">
        <v>2.0</v>
      </c>
      <c r="H8" s="7" t="s">
        <v>22</v>
      </c>
      <c r="I8" s="8" t="s">
        <v>45</v>
      </c>
      <c r="J8" s="16"/>
      <c r="K8" s="16"/>
      <c r="L8" s="7">
        <v>500.0</v>
      </c>
      <c r="M8" s="10" t="str">
        <f t="shared" si="1"/>
        <v>Complete</v>
      </c>
      <c r="N8" s="11" t="str">
        <f>IFERROR(__xludf.DUMMYFUNCTION("IMAGE(""https://drive.google.com/uc?export=view&amp;id=""&amp;REGEXEXTRACT(I8,""id=([^&amp;]+)""))"),"")</f>
        <v/>
      </c>
      <c r="O8" s="12"/>
    </row>
    <row r="9" ht="22.5" customHeight="1">
      <c r="A9" s="17">
        <v>46165.84195556713</v>
      </c>
      <c r="B9" s="18" t="s">
        <v>46</v>
      </c>
      <c r="C9" s="18">
        <v>9.088330933E9</v>
      </c>
      <c r="D9" s="18" t="s">
        <v>19</v>
      </c>
      <c r="E9" s="18" t="s">
        <v>20</v>
      </c>
      <c r="F9" s="18" t="s">
        <v>21</v>
      </c>
      <c r="G9" s="18">
        <v>5.0</v>
      </c>
      <c r="H9" s="18" t="s">
        <v>22</v>
      </c>
      <c r="I9" s="19" t="s">
        <v>47</v>
      </c>
      <c r="M9" s="10" t="str">
        <f t="shared" si="1"/>
        <v>Pending</v>
      </c>
      <c r="N9" s="11" t="str">
        <f>IFERROR(__xludf.DUMMYFUNCTION("IMAGE(""https://drive.google.com/uc?export=view&amp;id=""&amp;REGEXEXTRACT(I9,""id=([^&amp;]+)""))"),"")</f>
        <v/>
      </c>
      <c r="O9" s="12"/>
    </row>
    <row r="10" ht="22.5" customHeight="1">
      <c r="A10" s="17">
        <v>46165.91935070602</v>
      </c>
      <c r="B10" s="18" t="s">
        <v>48</v>
      </c>
      <c r="C10" s="18">
        <v>8.584991332E9</v>
      </c>
      <c r="D10" s="18" t="s">
        <v>19</v>
      </c>
      <c r="E10" s="18" t="s">
        <v>20</v>
      </c>
      <c r="F10" s="18" t="s">
        <v>32</v>
      </c>
      <c r="G10" s="18">
        <v>5.0</v>
      </c>
      <c r="H10" s="18" t="s">
        <v>22</v>
      </c>
      <c r="I10" s="19" t="s">
        <v>49</v>
      </c>
      <c r="L10" s="18">
        <v>500.0</v>
      </c>
      <c r="M10" s="10" t="str">
        <f t="shared" si="1"/>
        <v>Complete</v>
      </c>
      <c r="N10" s="11" t="str">
        <f>IFERROR(__xludf.DUMMYFUNCTION("IMAGE(""https://drive.google.com/uc?export=view&amp;id=""&amp;REGEXEXTRACT(I10,""id=([^&amp;]+)""))"),"")</f>
        <v/>
      </c>
      <c r="O10" s="7" t="s">
        <v>50</v>
      </c>
    </row>
    <row r="11" ht="22.5" customHeight="1">
      <c r="A11" s="17">
        <v>46165.93078722223</v>
      </c>
      <c r="B11" s="18" t="s">
        <v>51</v>
      </c>
      <c r="C11" s="18">
        <v>8.100508692E9</v>
      </c>
      <c r="D11" s="18" t="s">
        <v>19</v>
      </c>
      <c r="E11" s="18" t="s">
        <v>20</v>
      </c>
      <c r="F11" s="18" t="s">
        <v>39</v>
      </c>
      <c r="G11" s="18">
        <v>7.0</v>
      </c>
      <c r="H11" s="18" t="s">
        <v>22</v>
      </c>
      <c r="I11" s="19" t="s">
        <v>52</v>
      </c>
      <c r="K11" s="18">
        <v>8.100508692E9</v>
      </c>
      <c r="L11" s="18"/>
      <c r="M11" s="10" t="str">
        <f t="shared" si="1"/>
        <v>Pending</v>
      </c>
      <c r="N11" s="11" t="str">
        <f>IFERROR(__xludf.DUMMYFUNCTION("IMAGE(""https://drive.google.com/uc?export=view&amp;id=""&amp;REGEXEXTRACT(I11,""id=([^&amp;]+)""))"),"")</f>
        <v/>
      </c>
      <c r="O11" s="12"/>
    </row>
    <row r="12" ht="22.5" customHeight="1">
      <c r="A12" s="17">
        <v>46166.10059987269</v>
      </c>
      <c r="B12" s="18" t="s">
        <v>53</v>
      </c>
      <c r="C12" s="18">
        <v>7.890403653E9</v>
      </c>
      <c r="D12" s="18" t="s">
        <v>19</v>
      </c>
      <c r="E12" s="18" t="s">
        <v>20</v>
      </c>
      <c r="F12" s="18" t="s">
        <v>39</v>
      </c>
      <c r="G12" s="18">
        <v>3.0</v>
      </c>
      <c r="H12" s="18" t="s">
        <v>22</v>
      </c>
      <c r="I12" s="19" t="s">
        <v>54</v>
      </c>
      <c r="J12" s="18" t="s">
        <v>37</v>
      </c>
      <c r="K12" s="18">
        <v>7.890403653E9</v>
      </c>
      <c r="L12" s="18"/>
      <c r="M12" s="10" t="str">
        <f t="shared" si="1"/>
        <v>Pending</v>
      </c>
      <c r="N12" s="11" t="str">
        <f>IFERROR(__xludf.DUMMYFUNCTION("IMAGE(""https://drive.google.com/uc?export=view&amp;id=""&amp;REGEXEXTRACT(I12,""id=([^&amp;]+)""))"),"")</f>
        <v/>
      </c>
      <c r="O12" s="12"/>
    </row>
    <row r="13" ht="22.5" customHeight="1">
      <c r="A13" s="17">
        <v>46166.42914003472</v>
      </c>
      <c r="B13" s="18" t="s">
        <v>55</v>
      </c>
      <c r="C13" s="18">
        <v>9.12392738E9</v>
      </c>
      <c r="D13" s="18" t="s">
        <v>19</v>
      </c>
      <c r="E13" s="18" t="s">
        <v>20</v>
      </c>
      <c r="F13" s="18" t="s">
        <v>39</v>
      </c>
      <c r="G13" s="18">
        <v>2.0</v>
      </c>
      <c r="H13" s="18" t="s">
        <v>22</v>
      </c>
      <c r="I13" s="19" t="s">
        <v>56</v>
      </c>
      <c r="K13" s="18">
        <v>9.12392738E9</v>
      </c>
      <c r="L13" s="18"/>
      <c r="M13" s="10" t="str">
        <f t="shared" si="1"/>
        <v>Pending</v>
      </c>
      <c r="N13" s="11" t="str">
        <f>IFERROR(__xludf.DUMMYFUNCTION("IMAGE(""https://drive.google.com/uc?export=view&amp;id=""&amp;REGEXEXTRACT(I13,""id=([^&amp;]+)""))"),"")</f>
        <v/>
      </c>
      <c r="O13" s="12"/>
    </row>
    <row r="14" ht="22.5" customHeight="1">
      <c r="A14" s="17">
        <v>46166.52946611111</v>
      </c>
      <c r="B14" s="18" t="s">
        <v>57</v>
      </c>
      <c r="C14" s="18">
        <v>7.439065112E9</v>
      </c>
      <c r="D14" s="18" t="s">
        <v>19</v>
      </c>
      <c r="E14" s="18" t="s">
        <v>20</v>
      </c>
      <c r="F14" s="18" t="s">
        <v>32</v>
      </c>
      <c r="G14" s="18">
        <v>10.0</v>
      </c>
      <c r="H14" s="18" t="s">
        <v>22</v>
      </c>
      <c r="I14" s="19" t="s">
        <v>58</v>
      </c>
      <c r="J14" s="18" t="s">
        <v>59</v>
      </c>
      <c r="K14" s="18">
        <v>9.038044929E9</v>
      </c>
      <c r="L14" s="18">
        <v>500.0</v>
      </c>
      <c r="M14" s="10" t="str">
        <f t="shared" si="1"/>
        <v>Complete</v>
      </c>
      <c r="N14" s="11" t="str">
        <f>IFERROR(__xludf.DUMMYFUNCTION("IMAGE(""https://drive.google.com/uc?export=view&amp;id=""&amp;REGEXEXTRACT(I14,""id=([^&amp;]+)""))"),"")</f>
        <v/>
      </c>
      <c r="O14" s="12"/>
    </row>
    <row r="15" ht="22.5" customHeight="1">
      <c r="A15" s="17">
        <v>46166.58192790509</v>
      </c>
      <c r="B15" s="18" t="s">
        <v>60</v>
      </c>
      <c r="C15" s="18">
        <v>9.654581813E9</v>
      </c>
      <c r="D15" s="18" t="s">
        <v>19</v>
      </c>
      <c r="E15" s="18" t="s">
        <v>20</v>
      </c>
      <c r="F15" s="18" t="s">
        <v>32</v>
      </c>
      <c r="G15" s="18">
        <v>10.0</v>
      </c>
      <c r="H15" s="18" t="s">
        <v>22</v>
      </c>
      <c r="I15" s="19" t="s">
        <v>61</v>
      </c>
      <c r="J15" s="18" t="s">
        <v>62</v>
      </c>
      <c r="K15" s="18">
        <v>8.777357716E9</v>
      </c>
      <c r="L15" s="18">
        <v>800.0</v>
      </c>
      <c r="M15" s="10" t="str">
        <f t="shared" si="1"/>
        <v>Complete</v>
      </c>
      <c r="N15" s="11" t="str">
        <f>IFERROR(__xludf.DUMMYFUNCTION("IMAGE(""https://drive.google.com/uc?export=view&amp;id=""&amp;REGEXEXTRACT(I15,""id=([^&amp;]+)""))"),"")</f>
        <v/>
      </c>
      <c r="O15" s="12"/>
    </row>
    <row r="16" ht="22.5" customHeight="1">
      <c r="A16" s="17">
        <v>46166.63017775463</v>
      </c>
      <c r="B16" s="18" t="s">
        <v>63</v>
      </c>
      <c r="C16" s="18">
        <v>8.224882571E9</v>
      </c>
      <c r="D16" s="18" t="s">
        <v>19</v>
      </c>
      <c r="E16" s="18" t="s">
        <v>20</v>
      </c>
      <c r="F16" s="18" t="s">
        <v>21</v>
      </c>
      <c r="G16" s="18">
        <v>10.0</v>
      </c>
      <c r="H16" s="18" t="s">
        <v>22</v>
      </c>
      <c r="I16" s="19" t="s">
        <v>64</v>
      </c>
      <c r="K16" s="18">
        <v>8.224882571E9</v>
      </c>
      <c r="L16" s="18">
        <v>500.0</v>
      </c>
      <c r="M16" s="10" t="str">
        <f t="shared" si="1"/>
        <v>Complete</v>
      </c>
      <c r="N16" s="11" t="str">
        <f>IFERROR(__xludf.DUMMYFUNCTION("IMAGE(""https://drive.google.com/uc?export=view&amp;id=""&amp;REGEXEXTRACT(I16,""id=([^&amp;]+)""))"),"")</f>
        <v/>
      </c>
      <c r="O16" s="7" t="s">
        <v>65</v>
      </c>
    </row>
    <row r="17" ht="22.5" customHeight="1">
      <c r="A17" s="17">
        <v>46166.94874270834</v>
      </c>
      <c r="B17" s="18" t="s">
        <v>66</v>
      </c>
      <c r="C17" s="18">
        <v>9.088126567E9</v>
      </c>
      <c r="D17" s="18" t="s">
        <v>19</v>
      </c>
      <c r="E17" s="18" t="s">
        <v>20</v>
      </c>
      <c r="F17" s="18" t="s">
        <v>39</v>
      </c>
      <c r="G17" s="18">
        <v>7.0</v>
      </c>
      <c r="H17" s="18" t="s">
        <v>22</v>
      </c>
      <c r="I17" s="19" t="s">
        <v>67</v>
      </c>
      <c r="J17" s="18" t="s">
        <v>68</v>
      </c>
      <c r="K17" s="18">
        <v>9.088126567E9</v>
      </c>
      <c r="L17" s="18"/>
      <c r="M17" s="10" t="str">
        <f t="shared" si="1"/>
        <v>Pending</v>
      </c>
      <c r="N17" s="11" t="str">
        <f>IFERROR(__xludf.DUMMYFUNCTION("IMAGE(""https://drive.google.com/uc?export=view&amp;id=""&amp;REGEXEXTRACT(I17,""id=([^&amp;]+)""))"),"")</f>
        <v/>
      </c>
      <c r="O17" s="7" t="s">
        <v>69</v>
      </c>
    </row>
    <row r="18" ht="22.5" customHeight="1">
      <c r="A18" s="17">
        <v>46166.981706770835</v>
      </c>
      <c r="B18" s="18" t="s">
        <v>70</v>
      </c>
      <c r="C18" s="18">
        <v>8.585808364E9</v>
      </c>
      <c r="D18" s="18" t="s">
        <v>19</v>
      </c>
      <c r="E18" s="18" t="s">
        <v>20</v>
      </c>
      <c r="F18" s="18" t="s">
        <v>21</v>
      </c>
      <c r="G18" s="18">
        <v>5.0</v>
      </c>
      <c r="H18" s="18" t="s">
        <v>22</v>
      </c>
      <c r="I18" s="19" t="s">
        <v>71</v>
      </c>
      <c r="K18" s="18">
        <v>8.585808364E9</v>
      </c>
      <c r="L18" s="18">
        <v>500.0</v>
      </c>
      <c r="M18" s="10" t="str">
        <f t="shared" si="1"/>
        <v>Complete</v>
      </c>
      <c r="N18" s="11" t="str">
        <f>IFERROR(__xludf.DUMMYFUNCTION("IMAGE(""https://drive.google.com/uc?export=view&amp;id=""&amp;REGEXEXTRACT(I18,""id=([^&amp;]+)""))"),"")</f>
        <v/>
      </c>
      <c r="O18" s="7" t="s">
        <v>65</v>
      </c>
    </row>
    <row r="19" ht="22.5" customHeight="1">
      <c r="A19" s="17">
        <v>46167.779514270835</v>
      </c>
      <c r="B19" s="18" t="s">
        <v>72</v>
      </c>
      <c r="C19" s="18">
        <v>6.290270377E9</v>
      </c>
      <c r="D19" s="18" t="s">
        <v>19</v>
      </c>
      <c r="E19" s="18" t="s">
        <v>20</v>
      </c>
      <c r="F19" s="18" t="s">
        <v>21</v>
      </c>
      <c r="G19" s="18">
        <v>1.0</v>
      </c>
      <c r="H19" s="18" t="s">
        <v>22</v>
      </c>
      <c r="I19" s="19" t="s">
        <v>73</v>
      </c>
      <c r="J19" s="18" t="s">
        <v>74</v>
      </c>
      <c r="K19" s="18">
        <v>6.290270377E9</v>
      </c>
      <c r="L19" s="18">
        <v>500.0</v>
      </c>
      <c r="M19" s="10" t="str">
        <f t="shared" si="1"/>
        <v>Complete</v>
      </c>
      <c r="N19" s="11" t="str">
        <f>IFERROR(__xludf.DUMMYFUNCTION("IMAGE(""https://drive.google.com/uc?export=view&amp;id=""&amp;REGEXEXTRACT(I19,""id=([^&amp;]+)""))"),"")</f>
        <v/>
      </c>
      <c r="O19" s="12"/>
    </row>
    <row r="20" ht="22.5" customHeight="1">
      <c r="A20" s="17">
        <v>46167.79025842593</v>
      </c>
      <c r="B20" s="18" t="s">
        <v>75</v>
      </c>
      <c r="C20" s="18">
        <v>8.981470319E9</v>
      </c>
      <c r="D20" s="18" t="s">
        <v>19</v>
      </c>
      <c r="E20" s="18" t="s">
        <v>20</v>
      </c>
      <c r="F20" s="18" t="s">
        <v>21</v>
      </c>
      <c r="G20" s="18">
        <v>6.0</v>
      </c>
      <c r="H20" s="18" t="s">
        <v>22</v>
      </c>
      <c r="I20" s="19" t="s">
        <v>76</v>
      </c>
      <c r="K20" s="18">
        <v>8.981470319E9</v>
      </c>
      <c r="L20" s="18">
        <v>500.0</v>
      </c>
      <c r="M20" s="10" t="str">
        <f t="shared" si="1"/>
        <v>Complete</v>
      </c>
      <c r="N20" s="11" t="str">
        <f>IFERROR(__xludf.DUMMYFUNCTION("IMAGE(""https://drive.google.com/uc?export=view&amp;id=""&amp;REGEXEXTRACT(I20,""id=([^&amp;]+)""))"),"")</f>
        <v/>
      </c>
      <c r="O20" s="20" t="s">
        <v>77</v>
      </c>
    </row>
    <row r="21" ht="22.5" customHeight="1">
      <c r="A21" s="17">
        <v>46167.80642247685</v>
      </c>
      <c r="B21" s="18" t="s">
        <v>78</v>
      </c>
      <c r="C21" s="18">
        <v>7.980721344E9</v>
      </c>
      <c r="D21" s="18" t="s">
        <v>19</v>
      </c>
      <c r="E21" s="18" t="s">
        <v>20</v>
      </c>
      <c r="F21" s="18" t="s">
        <v>21</v>
      </c>
      <c r="G21" s="18">
        <v>8.0</v>
      </c>
      <c r="H21" s="18" t="s">
        <v>22</v>
      </c>
      <c r="I21" s="19" t="s">
        <v>79</v>
      </c>
      <c r="J21" s="18" t="s">
        <v>80</v>
      </c>
      <c r="K21" s="18">
        <v>7.980721344E9</v>
      </c>
      <c r="L21" s="18">
        <v>500.0</v>
      </c>
      <c r="M21" s="10" t="str">
        <f t="shared" si="1"/>
        <v>Complete</v>
      </c>
      <c r="N21" s="11" t="str">
        <f>IFERROR(__xludf.DUMMYFUNCTION("IMAGE(""https://drive.google.com/uc?export=view&amp;id=""&amp;REGEXEXTRACT(I21,""id=([^&amp;]+)""))"),"")</f>
        <v/>
      </c>
      <c r="O21" s="12"/>
    </row>
    <row r="22" ht="22.5" customHeight="1">
      <c r="A22" s="17">
        <v>46167.8264565162</v>
      </c>
      <c r="B22" s="18" t="s">
        <v>81</v>
      </c>
      <c r="C22" s="18">
        <v>8.777353249E9</v>
      </c>
      <c r="D22" s="18" t="s">
        <v>19</v>
      </c>
      <c r="E22" s="18" t="s">
        <v>20</v>
      </c>
      <c r="F22" s="18" t="s">
        <v>32</v>
      </c>
      <c r="G22" s="18">
        <v>5.0</v>
      </c>
      <c r="H22" s="18" t="s">
        <v>22</v>
      </c>
      <c r="I22" s="19" t="s">
        <v>82</v>
      </c>
      <c r="J22" s="18" t="s">
        <v>83</v>
      </c>
      <c r="K22" s="18">
        <v>8.777353249E9</v>
      </c>
      <c r="L22" s="18">
        <v>800.0</v>
      </c>
      <c r="M22" s="10" t="str">
        <f t="shared" si="1"/>
        <v>Complete</v>
      </c>
      <c r="N22" s="11" t="str">
        <f>IFERROR(__xludf.DUMMYFUNCTION("IMAGE(""https://drive.google.com/uc?export=view&amp;id=""&amp;REGEXEXTRACT(I22,""id=([^&amp;]+)""))"),"")</f>
        <v/>
      </c>
      <c r="O22" s="12"/>
    </row>
    <row r="23" ht="22.5" customHeight="1">
      <c r="A23" s="17">
        <v>46167.88894412037</v>
      </c>
      <c r="B23" s="18" t="s">
        <v>84</v>
      </c>
      <c r="C23" s="18">
        <v>6.290007449E9</v>
      </c>
      <c r="D23" s="18" t="s">
        <v>19</v>
      </c>
      <c r="E23" s="18" t="s">
        <v>20</v>
      </c>
      <c r="F23" s="18" t="s">
        <v>21</v>
      </c>
      <c r="G23" s="18">
        <v>10.0</v>
      </c>
      <c r="H23" s="18" t="s">
        <v>22</v>
      </c>
      <c r="I23" s="19" t="s">
        <v>85</v>
      </c>
      <c r="J23" s="18" t="s">
        <v>86</v>
      </c>
      <c r="K23" s="18">
        <v>6.290007449E9</v>
      </c>
      <c r="L23" s="18">
        <v>500.0</v>
      </c>
      <c r="M23" s="10" t="str">
        <f t="shared" si="1"/>
        <v>Complete</v>
      </c>
      <c r="N23" s="11" t="str">
        <f>IFERROR(__xludf.DUMMYFUNCTION("IMAGE(""https://drive.google.com/uc?export=view&amp;id=""&amp;REGEXEXTRACT(I23,""id=([^&amp;]+)""))"),"")</f>
        <v/>
      </c>
      <c r="O23" s="12"/>
    </row>
    <row r="24" ht="22.5" customHeight="1">
      <c r="A24" s="17">
        <v>46168.01738884259</v>
      </c>
      <c r="B24" s="18" t="s">
        <v>87</v>
      </c>
      <c r="C24" s="18">
        <v>9.038189636E9</v>
      </c>
      <c r="D24" s="18" t="s">
        <v>19</v>
      </c>
      <c r="E24" s="18" t="s">
        <v>20</v>
      </c>
      <c r="F24" s="18" t="s">
        <v>39</v>
      </c>
      <c r="G24" s="18">
        <v>6.0</v>
      </c>
      <c r="H24" s="18" t="s">
        <v>22</v>
      </c>
      <c r="I24" s="19" t="s">
        <v>88</v>
      </c>
      <c r="K24" s="18">
        <v>8.910941319E9</v>
      </c>
      <c r="M24" s="10" t="str">
        <f t="shared" si="1"/>
        <v>Pending</v>
      </c>
      <c r="N24" s="21" t="str">
        <f>IFERROR(__xludf.DUMMYFUNCTION("IMAGE(""https://drive.google.com/uc?export=view&amp;id=""&amp;REGEXEXTRACT(I24,""id=([^&amp;]+)""))"),"")</f>
        <v/>
      </c>
      <c r="O24" s="18"/>
    </row>
    <row r="25" ht="22.5" customHeight="1">
      <c r="A25" s="17">
        <v>46168.01854320602</v>
      </c>
      <c r="B25" s="18" t="s">
        <v>89</v>
      </c>
      <c r="C25" s="18">
        <v>7.003662153E9</v>
      </c>
      <c r="D25" s="18" t="s">
        <v>19</v>
      </c>
      <c r="E25" s="18" t="s">
        <v>20</v>
      </c>
      <c r="F25" s="18" t="s">
        <v>39</v>
      </c>
      <c r="G25" s="18">
        <v>10.0</v>
      </c>
      <c r="H25" s="18" t="s">
        <v>22</v>
      </c>
      <c r="I25" s="19" t="s">
        <v>90</v>
      </c>
      <c r="J25" s="18" t="s">
        <v>91</v>
      </c>
      <c r="K25" s="18">
        <v>7.003662153E9</v>
      </c>
      <c r="L25" s="18">
        <v>500.0</v>
      </c>
      <c r="M25" s="10" t="str">
        <f t="shared" si="1"/>
        <v>Complete</v>
      </c>
      <c r="N25" s="21" t="str">
        <f>IFERROR(__xludf.DUMMYFUNCTION("IMAGE(""https://drive.google.com/uc?export=view&amp;id=""&amp;REGEXEXTRACT(I25,""id=([^&amp;]+)""))"),"")</f>
        <v/>
      </c>
      <c r="O25" s="16"/>
    </row>
    <row r="26" ht="22.5" customHeight="1">
      <c r="A26" s="17">
        <v>46168.36446143519</v>
      </c>
      <c r="B26" s="18" t="s">
        <v>92</v>
      </c>
      <c r="C26" s="18">
        <v>8.583808935E9</v>
      </c>
      <c r="D26" s="18" t="s">
        <v>19</v>
      </c>
      <c r="E26" s="18" t="s">
        <v>20</v>
      </c>
      <c r="F26" s="18" t="s">
        <v>21</v>
      </c>
      <c r="G26" s="18">
        <v>6.0</v>
      </c>
      <c r="H26" s="18" t="s">
        <v>22</v>
      </c>
      <c r="I26" s="19" t="s">
        <v>93</v>
      </c>
      <c r="K26" s="18">
        <v>8.583808935E9</v>
      </c>
      <c r="L26" s="18">
        <v>500.0</v>
      </c>
      <c r="M26" s="10" t="str">
        <f t="shared" si="1"/>
        <v>Complete</v>
      </c>
      <c r="N26" s="21" t="str">
        <f>IFERROR(__xludf.DUMMYFUNCTION("IMAGE(""https://drive.google.com/uc?export=view&amp;id=""&amp;REGEXEXTRACT(I26,""id=([^&amp;]+)""))"),"")</f>
        <v/>
      </c>
      <c r="O26" s="16"/>
    </row>
    <row r="27" ht="22.5" customHeight="1">
      <c r="A27" s="17">
        <v>46172.431432199075</v>
      </c>
      <c r="B27" s="18" t="s">
        <v>94</v>
      </c>
      <c r="C27" s="18">
        <v>8.98193602E9</v>
      </c>
      <c r="D27" s="18" t="s">
        <v>19</v>
      </c>
      <c r="E27" s="18" t="s">
        <v>20</v>
      </c>
      <c r="F27" s="18" t="s">
        <v>32</v>
      </c>
      <c r="G27" s="18">
        <v>8.0</v>
      </c>
      <c r="H27" s="18" t="s">
        <v>22</v>
      </c>
      <c r="I27" s="19" t="s">
        <v>95</v>
      </c>
      <c r="J27" s="18" t="s">
        <v>24</v>
      </c>
      <c r="K27" s="18">
        <v>8.98193602E9</v>
      </c>
      <c r="L27" s="18">
        <v>500.0</v>
      </c>
      <c r="M27" s="10" t="str">
        <f t="shared" si="1"/>
        <v>Complete</v>
      </c>
      <c r="N27" s="21" t="str">
        <f>IFERROR(__xludf.DUMMYFUNCTION("IMAGE(""https://drive.google.com/uc?export=view&amp;id=""&amp;REGEXEXTRACT(I27,""id=([^&amp;]+)""))"),"")</f>
        <v/>
      </c>
    </row>
    <row r="28" ht="22.5" customHeight="1">
      <c r="A28" s="17">
        <v>46172.43920341435</v>
      </c>
      <c r="B28" s="18" t="s">
        <v>96</v>
      </c>
      <c r="C28" s="18">
        <v>9.144868713E9</v>
      </c>
      <c r="D28" s="18" t="s">
        <v>19</v>
      </c>
      <c r="E28" s="18" t="s">
        <v>20</v>
      </c>
      <c r="F28" s="18" t="s">
        <v>32</v>
      </c>
      <c r="G28" s="18">
        <v>9.0</v>
      </c>
      <c r="H28" s="18" t="s">
        <v>22</v>
      </c>
      <c r="I28" s="19" t="s">
        <v>97</v>
      </c>
      <c r="J28" s="18" t="s">
        <v>68</v>
      </c>
      <c r="K28" s="18">
        <v>9.144868713E9</v>
      </c>
      <c r="L28" s="18">
        <v>500.0</v>
      </c>
      <c r="M28" s="10" t="str">
        <f t="shared" si="1"/>
        <v>Complete</v>
      </c>
      <c r="N28" s="21" t="str">
        <f>IFERROR(__xludf.DUMMYFUNCTION("IMAGE(""https://drive.google.com/uc?export=view&amp;id=""&amp;REGEXEXTRACT(I28,""id=([^&amp;]+)""))"),"")</f>
        <v/>
      </c>
    </row>
    <row r="29" ht="22.5" customHeight="1">
      <c r="A29" s="17">
        <v>46172.55722326389</v>
      </c>
      <c r="B29" s="18" t="s">
        <v>98</v>
      </c>
      <c r="C29" s="18">
        <v>7.003388162E9</v>
      </c>
      <c r="D29" s="18" t="s">
        <v>19</v>
      </c>
      <c r="E29" s="18" t="s">
        <v>20</v>
      </c>
      <c r="F29" s="18" t="s">
        <v>39</v>
      </c>
      <c r="G29" s="18">
        <v>1.0</v>
      </c>
      <c r="H29" s="18" t="s">
        <v>99</v>
      </c>
      <c r="I29" s="19" t="s">
        <v>100</v>
      </c>
      <c r="K29" s="18">
        <v>7.003388162E9</v>
      </c>
      <c r="L29" s="18">
        <v>500.0</v>
      </c>
      <c r="M29" s="10" t="str">
        <f t="shared" si="1"/>
        <v>Complete</v>
      </c>
      <c r="N29" s="21" t="str">
        <f>IFERROR(__xludf.DUMMYFUNCTION("IMAGE(""https://drive.google.com/uc?export=view&amp;id=""&amp;REGEXEXTRACT(I29,""id=([^&amp;]+)""))"),"")</f>
        <v/>
      </c>
    </row>
    <row r="30" ht="22.5" customHeight="1">
      <c r="A30" s="17">
        <v>46172.81189327546</v>
      </c>
      <c r="B30" s="18" t="s">
        <v>101</v>
      </c>
      <c r="C30" s="18">
        <v>7.003347354E9</v>
      </c>
      <c r="D30" s="18" t="s">
        <v>19</v>
      </c>
      <c r="E30" s="18" t="s">
        <v>20</v>
      </c>
      <c r="F30" s="18" t="s">
        <v>32</v>
      </c>
      <c r="G30" s="18">
        <v>1.0</v>
      </c>
      <c r="H30" s="18" t="s">
        <v>22</v>
      </c>
      <c r="I30" s="19" t="s">
        <v>102</v>
      </c>
      <c r="K30" s="18">
        <v>7.003347354E9</v>
      </c>
      <c r="L30" s="18">
        <v>500.0</v>
      </c>
      <c r="M30" s="10" t="str">
        <f t="shared" si="1"/>
        <v>Complete</v>
      </c>
      <c r="N30" s="21" t="str">
        <f>IFERROR(__xludf.DUMMYFUNCTION("IMAGE(""https://drive.google.com/uc?export=view&amp;id=""&amp;REGEXEXTRACT(I30,""id=([^&amp;]+)""))"),"")</f>
        <v/>
      </c>
    </row>
    <row r="31" ht="22.5" customHeight="1">
      <c r="A31" s="17">
        <v>46174.563739502315</v>
      </c>
      <c r="B31" s="18" t="s">
        <v>103</v>
      </c>
      <c r="C31" s="18">
        <v>8.478875174E9</v>
      </c>
      <c r="D31" s="18" t="s">
        <v>19</v>
      </c>
      <c r="E31" s="18" t="s">
        <v>20</v>
      </c>
      <c r="F31" s="18" t="s">
        <v>21</v>
      </c>
      <c r="G31" s="18">
        <v>7.0</v>
      </c>
      <c r="H31" s="18" t="s">
        <v>22</v>
      </c>
      <c r="I31" s="19" t="s">
        <v>104</v>
      </c>
      <c r="K31" s="18">
        <v>8.478875174E9</v>
      </c>
      <c r="L31" s="18">
        <v>500.0</v>
      </c>
      <c r="M31" s="10" t="str">
        <f t="shared" si="1"/>
        <v>Complete</v>
      </c>
      <c r="N31" s="21" t="str">
        <f>IFERROR(__xludf.DUMMYFUNCTION("IMAGE(""https://drive.google.com/uc?export=view&amp;id=""&amp;REGEXEXTRACT(I31,""id=([^&amp;]+)""))"),"")</f>
        <v/>
      </c>
    </row>
    <row r="32" ht="22.5" customHeight="1">
      <c r="A32" s="17">
        <v>46174.585394594906</v>
      </c>
      <c r="B32" s="18" t="s">
        <v>105</v>
      </c>
      <c r="C32" s="18">
        <v>8.67006367E9</v>
      </c>
      <c r="D32" s="18" t="s">
        <v>19</v>
      </c>
      <c r="E32" s="18" t="s">
        <v>20</v>
      </c>
      <c r="F32" s="18" t="s">
        <v>39</v>
      </c>
      <c r="G32" s="18">
        <v>6.0</v>
      </c>
      <c r="H32" s="18" t="s">
        <v>22</v>
      </c>
      <c r="I32" s="19" t="s">
        <v>106</v>
      </c>
      <c r="J32" s="18" t="s">
        <v>107</v>
      </c>
      <c r="K32" s="18">
        <v>8.67006367E9</v>
      </c>
      <c r="L32" s="18">
        <v>500.0</v>
      </c>
      <c r="M32" s="10" t="str">
        <f t="shared" si="1"/>
        <v>Complete</v>
      </c>
      <c r="N32" s="21" t="str">
        <f>IFERROR(__xludf.DUMMYFUNCTION("IMAGE(""https://drive.google.com/uc?export=view&amp;id=""&amp;REGEXEXTRACT(I32,""id=([^&amp;]+)""))"),"")</f>
        <v/>
      </c>
    </row>
    <row r="33" ht="22.5" customHeight="1">
      <c r="A33" s="17">
        <v>46175.00822256945</v>
      </c>
      <c r="B33" s="18" t="s">
        <v>108</v>
      </c>
      <c r="C33" s="18">
        <v>9.330693101E9</v>
      </c>
      <c r="D33" s="18" t="s">
        <v>109</v>
      </c>
      <c r="E33" s="18" t="s">
        <v>20</v>
      </c>
      <c r="F33" s="18" t="s">
        <v>39</v>
      </c>
      <c r="G33" s="18">
        <v>2.0</v>
      </c>
      <c r="H33" s="18" t="s">
        <v>22</v>
      </c>
      <c r="I33" s="22" t="s">
        <v>110</v>
      </c>
      <c r="J33" s="18" t="s">
        <v>68</v>
      </c>
      <c r="K33" s="18">
        <v>9.330693101E9</v>
      </c>
      <c r="L33" s="18">
        <v>500.0</v>
      </c>
      <c r="M33" s="10" t="str">
        <f t="shared" si="1"/>
        <v>Complete</v>
      </c>
      <c r="N33" s="21" t="str">
        <f>IFERROR(__xludf.DUMMYFUNCTION("IMAGE(""https://drive.google.com/uc?export=view&amp;id=""&amp;REGEXEXTRACT(I33,""id=([^&amp;]+)""))"),"")</f>
        <v/>
      </c>
    </row>
    <row r="34" ht="22.5" customHeight="1">
      <c r="A34" s="17">
        <v>46175.87059280093</v>
      </c>
      <c r="B34" s="18" t="s">
        <v>111</v>
      </c>
      <c r="C34" s="18">
        <v>9.836867702E9</v>
      </c>
      <c r="D34" s="18" t="s">
        <v>19</v>
      </c>
      <c r="E34" s="18" t="s">
        <v>20</v>
      </c>
      <c r="F34" s="18" t="s">
        <v>32</v>
      </c>
      <c r="G34" s="18">
        <v>7.0</v>
      </c>
      <c r="H34" s="18" t="s">
        <v>22</v>
      </c>
      <c r="I34" s="19" t="s">
        <v>112</v>
      </c>
      <c r="K34" s="18">
        <v>9.836867702E9</v>
      </c>
      <c r="M34" s="10" t="str">
        <f t="shared" si="1"/>
        <v>Pending</v>
      </c>
      <c r="N34" s="21" t="str">
        <f>IFERROR(__xludf.DUMMYFUNCTION("IMAGE(""https://drive.google.com/uc?export=view&amp;id=""&amp;REGEXEXTRACT(I34,""id=([^&amp;]+)""))"),"")</f>
        <v/>
      </c>
    </row>
    <row r="35" ht="22.5" customHeight="1">
      <c r="A35" s="17">
        <v>46175.9337140162</v>
      </c>
      <c r="B35" s="18" t="s">
        <v>113</v>
      </c>
      <c r="C35" s="18">
        <v>9.330279692E9</v>
      </c>
      <c r="D35" s="18" t="s">
        <v>19</v>
      </c>
      <c r="E35" s="18" t="s">
        <v>20</v>
      </c>
      <c r="F35" s="18" t="s">
        <v>32</v>
      </c>
      <c r="G35" s="18">
        <v>6.0</v>
      </c>
      <c r="H35" s="18" t="s">
        <v>22</v>
      </c>
      <c r="I35" s="19" t="s">
        <v>114</v>
      </c>
      <c r="J35" s="18" t="s">
        <v>115</v>
      </c>
      <c r="K35" s="18">
        <v>9.330279692E9</v>
      </c>
      <c r="M35" s="10" t="str">
        <f t="shared" si="1"/>
        <v>Pending</v>
      </c>
      <c r="N35" s="21" t="str">
        <f>IFERROR(__xludf.DUMMYFUNCTION("IMAGE(""https://drive.google.com/uc?export=view&amp;id=""&amp;REGEXEXTRACT(I35,""id=([^&amp;]+)""))"),"")</f>
        <v/>
      </c>
    </row>
    <row r="36" ht="22.5" customHeight="1">
      <c r="A36" s="17">
        <v>46175.96184834491</v>
      </c>
      <c r="B36" s="18" t="s">
        <v>116</v>
      </c>
      <c r="C36" s="18">
        <v>9.674773735E9</v>
      </c>
      <c r="D36" s="18" t="s">
        <v>19</v>
      </c>
      <c r="E36" s="18" t="s">
        <v>20</v>
      </c>
      <c r="F36" s="18" t="s">
        <v>32</v>
      </c>
      <c r="G36" s="18">
        <v>8.0</v>
      </c>
      <c r="H36" s="18" t="s">
        <v>22</v>
      </c>
      <c r="I36" s="19" t="s">
        <v>117</v>
      </c>
      <c r="K36" s="18">
        <v>9.674773735E9</v>
      </c>
      <c r="L36" s="18">
        <v>500.0</v>
      </c>
      <c r="M36" s="10" t="str">
        <f t="shared" si="1"/>
        <v>Complete</v>
      </c>
      <c r="N36" s="21" t="str">
        <f>IFERROR(__xludf.DUMMYFUNCTION("IMAGE(""https://drive.google.com/uc?export=view&amp;id=""&amp;REGEXEXTRACT(I36,""id=([^&amp;]+)""))"),"")</f>
        <v/>
      </c>
    </row>
    <row r="37" ht="22.5" customHeight="1">
      <c r="A37" s="17">
        <v>46176.844581620375</v>
      </c>
      <c r="B37" s="18" t="s">
        <v>118</v>
      </c>
      <c r="C37" s="18">
        <v>8.910827445E9</v>
      </c>
      <c r="D37" s="18" t="s">
        <v>19</v>
      </c>
      <c r="E37" s="18" t="s">
        <v>20</v>
      </c>
      <c r="F37" s="18" t="s">
        <v>39</v>
      </c>
      <c r="G37" s="18">
        <v>6.0</v>
      </c>
      <c r="H37" s="18" t="s">
        <v>22</v>
      </c>
      <c r="I37" s="19" t="s">
        <v>119</v>
      </c>
      <c r="K37" s="18">
        <v>8.910827445E9</v>
      </c>
      <c r="M37" s="10" t="str">
        <f t="shared" si="1"/>
        <v>Pending</v>
      </c>
      <c r="N37" s="21" t="str">
        <f>IFERROR(__xludf.DUMMYFUNCTION("IMAGE(""https://drive.google.com/uc?export=view&amp;id=""&amp;REGEXEXTRACT(I37,""id=([^&amp;]+)""))"),"")</f>
        <v/>
      </c>
    </row>
    <row r="38" ht="22.5" customHeight="1">
      <c r="A38" s="17">
        <v>46177.436148877314</v>
      </c>
      <c r="B38" s="18" t="s">
        <v>120</v>
      </c>
      <c r="C38" s="18">
        <v>6.290441191E9</v>
      </c>
      <c r="D38" s="18" t="s">
        <v>109</v>
      </c>
      <c r="E38" s="18" t="s">
        <v>121</v>
      </c>
      <c r="F38" s="18" t="s">
        <v>39</v>
      </c>
      <c r="G38" s="18">
        <v>6.0</v>
      </c>
      <c r="H38" s="18" t="s">
        <v>22</v>
      </c>
      <c r="I38" s="19" t="s">
        <v>122</v>
      </c>
      <c r="K38" s="18">
        <v>6.290441191E9</v>
      </c>
      <c r="L38" s="18">
        <v>500.0</v>
      </c>
      <c r="M38" s="10" t="str">
        <f t="shared" si="1"/>
        <v>Complete</v>
      </c>
      <c r="N38" s="21" t="str">
        <f>IFERROR(__xludf.DUMMYFUNCTION("IMAGE(""https://drive.google.com/uc?export=view&amp;id=""&amp;REGEXEXTRACT(I38,""id=([^&amp;]+)""))"),"")</f>
        <v/>
      </c>
    </row>
    <row r="39" ht="22.5" customHeight="1">
      <c r="A39" s="17">
        <v>46177.47226224537</v>
      </c>
      <c r="B39" s="18" t="s">
        <v>123</v>
      </c>
      <c r="C39" s="18">
        <v>7.980806314E9</v>
      </c>
      <c r="D39" s="18" t="s">
        <v>19</v>
      </c>
      <c r="E39" s="18" t="s">
        <v>20</v>
      </c>
      <c r="F39" s="18" t="s">
        <v>39</v>
      </c>
      <c r="G39" s="18">
        <v>5.0</v>
      </c>
      <c r="H39" s="18" t="s">
        <v>22</v>
      </c>
      <c r="I39" s="19" t="s">
        <v>124</v>
      </c>
      <c r="K39" s="18">
        <v>7.980806314E9</v>
      </c>
      <c r="L39" s="18">
        <v>500.0</v>
      </c>
      <c r="M39" s="10" t="str">
        <f t="shared" si="1"/>
        <v>Complete</v>
      </c>
      <c r="N39" s="21" t="str">
        <f>IFERROR(__xludf.DUMMYFUNCTION("IMAGE(""https://drive.google.com/uc?export=view&amp;id=""&amp;REGEXEXTRACT(I39,""id=([^&amp;]+)""))"),"")</f>
        <v/>
      </c>
    </row>
    <row r="40" ht="22.5" customHeight="1">
      <c r="A40" s="17">
        <v>46177.738954189816</v>
      </c>
      <c r="B40" s="18" t="s">
        <v>125</v>
      </c>
      <c r="C40" s="18">
        <v>7.980012825E9</v>
      </c>
      <c r="D40" s="18" t="s">
        <v>19</v>
      </c>
      <c r="E40" s="18" t="s">
        <v>20</v>
      </c>
      <c r="F40" s="18" t="s">
        <v>39</v>
      </c>
      <c r="G40" s="18">
        <v>7.0</v>
      </c>
      <c r="H40" s="18" t="s">
        <v>22</v>
      </c>
      <c r="I40" s="19" t="s">
        <v>126</v>
      </c>
      <c r="K40" s="18">
        <v>7.980012825E9</v>
      </c>
      <c r="M40" s="10" t="str">
        <f t="shared" si="1"/>
        <v>Pending</v>
      </c>
      <c r="N40" s="21" t="str">
        <f>IFERROR(__xludf.DUMMYFUNCTION("IMAGE(""https://drive.google.com/uc?export=view&amp;id=""&amp;REGEXEXTRACT(I40,""id=([^&amp;]+)""))"),"")</f>
        <v/>
      </c>
    </row>
    <row r="41" ht="22.5" customHeight="1">
      <c r="A41" s="17">
        <v>46177.7903965625</v>
      </c>
      <c r="B41" s="18" t="s">
        <v>127</v>
      </c>
      <c r="C41" s="18">
        <v>9.831617333E9</v>
      </c>
      <c r="D41" s="18" t="s">
        <v>19</v>
      </c>
      <c r="E41" s="18" t="s">
        <v>20</v>
      </c>
      <c r="F41" s="18" t="s">
        <v>39</v>
      </c>
      <c r="G41" s="18">
        <v>4.0</v>
      </c>
      <c r="H41" s="18" t="s">
        <v>22</v>
      </c>
      <c r="I41" s="19" t="s">
        <v>128</v>
      </c>
      <c r="K41" s="18">
        <v>9.831617333E9</v>
      </c>
      <c r="L41" s="18">
        <v>500.0</v>
      </c>
      <c r="M41" s="10" t="str">
        <f t="shared" si="1"/>
        <v>Complete</v>
      </c>
      <c r="N41" s="21" t="str">
        <f>IFERROR(__xludf.DUMMYFUNCTION("IMAGE(""https://drive.google.com/uc?export=view&amp;id=""&amp;REGEXEXTRACT(I41,""id=([^&amp;]+)""))"),"")</f>
        <v/>
      </c>
      <c r="O41" s="18" t="s">
        <v>129</v>
      </c>
    </row>
    <row r="42" ht="22.5" customHeight="1">
      <c r="A42" s="17">
        <v>46177.83828390046</v>
      </c>
      <c r="B42" s="18" t="s">
        <v>130</v>
      </c>
      <c r="C42" s="18">
        <v>9.836395778E9</v>
      </c>
      <c r="D42" s="18" t="s">
        <v>109</v>
      </c>
      <c r="E42" s="18" t="s">
        <v>20</v>
      </c>
      <c r="F42" s="18" t="s">
        <v>39</v>
      </c>
      <c r="G42" s="18">
        <v>9.0</v>
      </c>
      <c r="H42" s="18" t="s">
        <v>22</v>
      </c>
      <c r="I42" s="19" t="s">
        <v>131</v>
      </c>
      <c r="K42" s="18">
        <v>9.836395778E9</v>
      </c>
      <c r="L42" s="18">
        <v>500.0</v>
      </c>
      <c r="M42" s="10" t="str">
        <f t="shared" si="1"/>
        <v>Complete</v>
      </c>
      <c r="N42" s="21" t="str">
        <f>IFERROR(__xludf.DUMMYFUNCTION("IMAGE(""https://drive.google.com/uc?export=view&amp;id=""&amp;REGEXEXTRACT(I42,""id=([^&amp;]+)""))"),"")</f>
        <v/>
      </c>
    </row>
    <row r="43" ht="22.5" customHeight="1">
      <c r="A43" s="17">
        <v>46177.91665996528</v>
      </c>
      <c r="B43" s="18" t="s">
        <v>132</v>
      </c>
      <c r="C43" s="18">
        <v>8.420914374E9</v>
      </c>
      <c r="D43" s="18" t="s">
        <v>19</v>
      </c>
      <c r="E43" s="18" t="s">
        <v>20</v>
      </c>
      <c r="F43" s="18" t="s">
        <v>39</v>
      </c>
      <c r="G43" s="18">
        <v>10.0</v>
      </c>
      <c r="H43" s="18" t="s">
        <v>22</v>
      </c>
      <c r="I43" s="19" t="s">
        <v>133</v>
      </c>
      <c r="K43" s="18">
        <v>8.420914374E9</v>
      </c>
      <c r="L43" s="18">
        <v>500.0</v>
      </c>
      <c r="M43" s="10" t="str">
        <f t="shared" si="1"/>
        <v>Complete</v>
      </c>
      <c r="N43" s="21" t="str">
        <f>IFERROR(__xludf.DUMMYFUNCTION("IMAGE(""https://drive.google.com/uc?export=view&amp;id=""&amp;REGEXEXTRACT(I43,""id=([^&amp;]+)""))"),"")</f>
        <v/>
      </c>
    </row>
    <row r="44" ht="22.5" customHeight="1">
      <c r="A44" s="17">
        <v>46177.93314333333</v>
      </c>
      <c r="B44" s="18" t="s">
        <v>134</v>
      </c>
      <c r="C44" s="18">
        <v>8.442817344E9</v>
      </c>
      <c r="D44" s="18" t="s">
        <v>109</v>
      </c>
      <c r="E44" s="18" t="s">
        <v>20</v>
      </c>
      <c r="F44" s="18" t="s">
        <v>21</v>
      </c>
      <c r="G44" s="18">
        <v>5.0</v>
      </c>
      <c r="H44" s="18" t="s">
        <v>22</v>
      </c>
      <c r="I44" s="19" t="s">
        <v>135</v>
      </c>
      <c r="J44" s="18" t="s">
        <v>136</v>
      </c>
      <c r="K44" s="18">
        <v>8.442817344E9</v>
      </c>
      <c r="L44" s="18">
        <v>500.0</v>
      </c>
      <c r="M44" s="10" t="str">
        <f t="shared" si="1"/>
        <v>Complete</v>
      </c>
      <c r="N44" s="21" t="str">
        <f>IFERROR(__xludf.DUMMYFUNCTION("IMAGE(""https://drive.google.com/uc?export=view&amp;id=""&amp;REGEXEXTRACT(I44,""id=([^&amp;]+)""))"),"")</f>
        <v/>
      </c>
    </row>
    <row r="45">
      <c r="N45" s="23"/>
    </row>
    <row r="46">
      <c r="N46" s="23"/>
    </row>
    <row r="47">
      <c r="N47" s="23"/>
    </row>
    <row r="48">
      <c r="N48" s="23"/>
    </row>
    <row r="49">
      <c r="N49" s="23"/>
    </row>
    <row r="50">
      <c r="N50" s="23"/>
    </row>
    <row r="51">
      <c r="N51" s="23"/>
    </row>
    <row r="52">
      <c r="N52" s="23"/>
    </row>
    <row r="53">
      <c r="N53" s="23"/>
    </row>
    <row r="54">
      <c r="N54" s="23"/>
    </row>
    <row r="55">
      <c r="N55" s="23"/>
    </row>
    <row r="56">
      <c r="N56" s="23"/>
    </row>
    <row r="57">
      <c r="N57" s="23"/>
    </row>
    <row r="58">
      <c r="N58" s="23"/>
    </row>
    <row r="59">
      <c r="N59" s="23"/>
    </row>
    <row r="60">
      <c r="N60" s="23"/>
    </row>
    <row r="61">
      <c r="N61" s="23"/>
    </row>
    <row r="62">
      <c r="N62" s="23"/>
    </row>
    <row r="63">
      <c r="N63" s="23"/>
    </row>
    <row r="64">
      <c r="N64" s="23"/>
    </row>
    <row r="65">
      <c r="N65" s="23"/>
    </row>
    <row r="66">
      <c r="N66" s="23"/>
    </row>
    <row r="67">
      <c r="N67" s="23"/>
    </row>
    <row r="68">
      <c r="N68" s="23"/>
    </row>
    <row r="69">
      <c r="N69" s="23"/>
    </row>
    <row r="70">
      <c r="N70" s="23"/>
    </row>
    <row r="71">
      <c r="N71" s="23"/>
    </row>
    <row r="72">
      <c r="N72" s="23"/>
    </row>
    <row r="73">
      <c r="N73" s="23"/>
    </row>
    <row r="74">
      <c r="N74" s="23"/>
    </row>
    <row r="75">
      <c r="N75" s="23"/>
    </row>
    <row r="76">
      <c r="N76" s="23"/>
    </row>
    <row r="77">
      <c r="N77" s="23"/>
    </row>
    <row r="78">
      <c r="N78" s="23"/>
    </row>
    <row r="79">
      <c r="N79" s="23"/>
    </row>
    <row r="80">
      <c r="N80" s="23"/>
    </row>
    <row r="81">
      <c r="N81" s="23"/>
    </row>
    <row r="82">
      <c r="N82" s="23"/>
    </row>
    <row r="83">
      <c r="N83" s="23"/>
    </row>
    <row r="84">
      <c r="N84" s="23"/>
    </row>
    <row r="85">
      <c r="N85" s="23"/>
    </row>
    <row r="86">
      <c r="N86" s="23"/>
    </row>
    <row r="87">
      <c r="N87" s="23"/>
    </row>
    <row r="88">
      <c r="N88" s="23"/>
    </row>
    <row r="89">
      <c r="N89" s="23"/>
    </row>
    <row r="90">
      <c r="N90" s="23"/>
    </row>
    <row r="91">
      <c r="N91" s="23"/>
    </row>
    <row r="92">
      <c r="N92" s="23"/>
    </row>
    <row r="93">
      <c r="N93" s="23"/>
    </row>
    <row r="94">
      <c r="N94" s="23"/>
    </row>
    <row r="95">
      <c r="N95" s="23"/>
    </row>
    <row r="96">
      <c r="N96" s="23"/>
    </row>
    <row r="97">
      <c r="N97" s="23"/>
    </row>
    <row r="98">
      <c r="N98" s="23"/>
    </row>
    <row r="99">
      <c r="N99" s="23"/>
    </row>
    <row r="100">
      <c r="N100" s="23"/>
    </row>
    <row r="101">
      <c r="N101" s="23"/>
    </row>
    <row r="102">
      <c r="N102" s="23"/>
    </row>
    <row r="103">
      <c r="N103" s="23"/>
    </row>
    <row r="104">
      <c r="N104" s="23"/>
    </row>
    <row r="105">
      <c r="N105" s="23"/>
    </row>
    <row r="106">
      <c r="N106" s="23"/>
    </row>
    <row r="107">
      <c r="N107" s="23"/>
    </row>
    <row r="108">
      <c r="N108" s="23"/>
    </row>
    <row r="109">
      <c r="N109" s="23"/>
    </row>
    <row r="110">
      <c r="N110" s="23"/>
    </row>
    <row r="111">
      <c r="N111" s="23"/>
    </row>
    <row r="112">
      <c r="N112" s="23"/>
    </row>
    <row r="113">
      <c r="N113" s="23"/>
    </row>
    <row r="114">
      <c r="N114" s="23"/>
    </row>
    <row r="115">
      <c r="N115" s="23"/>
    </row>
    <row r="116">
      <c r="N116" s="23"/>
    </row>
    <row r="117">
      <c r="N117" s="23"/>
    </row>
    <row r="118">
      <c r="N118" s="23"/>
    </row>
    <row r="119">
      <c r="N119" s="23"/>
    </row>
    <row r="120">
      <c r="N120" s="23"/>
    </row>
    <row r="121">
      <c r="N121" s="23"/>
    </row>
    <row r="122">
      <c r="N122" s="23"/>
    </row>
    <row r="123">
      <c r="N123" s="23"/>
    </row>
    <row r="124">
      <c r="N124" s="23"/>
    </row>
    <row r="125">
      <c r="N125" s="23"/>
    </row>
    <row r="126">
      <c r="N126" s="23"/>
    </row>
    <row r="127">
      <c r="N127" s="23"/>
    </row>
    <row r="128">
      <c r="N128" s="23"/>
    </row>
    <row r="129">
      <c r="N129" s="23"/>
    </row>
    <row r="130">
      <c r="N130" s="23"/>
    </row>
    <row r="131">
      <c r="N131" s="23"/>
    </row>
    <row r="132">
      <c r="N132" s="23"/>
    </row>
    <row r="133">
      <c r="N133" s="23"/>
    </row>
    <row r="134">
      <c r="N134" s="23"/>
    </row>
    <row r="135">
      <c r="N135" s="23"/>
    </row>
    <row r="136">
      <c r="N136" s="23"/>
    </row>
    <row r="137">
      <c r="N137" s="23"/>
    </row>
    <row r="138">
      <c r="N138" s="23"/>
    </row>
    <row r="139">
      <c r="N139" s="23"/>
    </row>
    <row r="140">
      <c r="N140" s="23"/>
    </row>
    <row r="141">
      <c r="N141" s="23"/>
    </row>
    <row r="142">
      <c r="N142" s="23"/>
    </row>
    <row r="143">
      <c r="N143" s="23"/>
    </row>
  </sheetData>
  <conditionalFormatting sqref="M2:M117">
    <cfRule type="cellIs" dxfId="5" priority="1" operator="equal">
      <formula>"Complete"</formula>
    </cfRule>
  </conditionalFormatting>
  <conditionalFormatting sqref="M2:M117">
    <cfRule type="cellIs" dxfId="6" priority="2" operator="equal">
      <formula>"Pending"</formula>
    </cfRule>
  </conditionalFormatting>
  <dataValidations>
    <dataValidation type="list" allowBlank="1" sqref="M2:M44">
      <formula1>"Complete,Pending"</formula1>
    </dataValidation>
  </dataValidations>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s>
  <drawing r:id="rId44"/>
  <tableParts count="1">
    <tablePart r:id="rId46"/>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0.63"/>
    <col customWidth="1" min="11" max="11" width="16.5"/>
    <col customWidth="1" min="14" max="14" width="19.5"/>
    <col customWidth="1" min="15" max="15" width="46.13"/>
    <col customWidth="1" min="21" max="21" width="15.75"/>
  </cols>
  <sheetData>
    <row r="1">
      <c r="A1" s="24" t="s">
        <v>137</v>
      </c>
      <c r="B1" s="25" t="s">
        <v>1</v>
      </c>
      <c r="C1" s="26" t="s">
        <v>138</v>
      </c>
      <c r="D1" s="26" t="s">
        <v>139</v>
      </c>
      <c r="E1" s="26" t="s">
        <v>140</v>
      </c>
      <c r="F1" s="26" t="s">
        <v>141</v>
      </c>
      <c r="G1" s="26" t="s">
        <v>142</v>
      </c>
      <c r="H1" s="25" t="s">
        <v>143</v>
      </c>
      <c r="I1" s="26" t="s">
        <v>144</v>
      </c>
      <c r="J1" s="26" t="s">
        <v>145</v>
      </c>
      <c r="K1" s="26" t="s">
        <v>146</v>
      </c>
      <c r="L1" s="24" t="s">
        <v>147</v>
      </c>
      <c r="O1" s="27"/>
    </row>
    <row r="2">
      <c r="A2" s="28">
        <v>3.3918878E7</v>
      </c>
      <c r="B2" s="28" t="s">
        <v>148</v>
      </c>
      <c r="C2" s="29">
        <v>16.0</v>
      </c>
      <c r="D2" s="29">
        <v>12.0</v>
      </c>
      <c r="E2" s="29">
        <v>162.0</v>
      </c>
      <c r="F2" s="29">
        <v>16.2</v>
      </c>
      <c r="G2" s="29">
        <v>186.21</v>
      </c>
      <c r="H2" s="29" t="s">
        <v>149</v>
      </c>
      <c r="I2" s="29">
        <v>4.0</v>
      </c>
      <c r="J2" s="29">
        <v>14.5</v>
      </c>
      <c r="K2" s="29">
        <v>13.0</v>
      </c>
      <c r="L2" s="30" t="str">
        <f>HYPERLINK("https://cricheroes.com/player-profile/33918878/anirban-paul/stats","View Profile")</f>
        <v>View Profile</v>
      </c>
    </row>
    <row r="3">
      <c r="A3" s="28">
        <v>1.9685723E7</v>
      </c>
      <c r="B3" s="28" t="s">
        <v>150</v>
      </c>
      <c r="C3" s="31">
        <v>110.0</v>
      </c>
      <c r="D3" s="31">
        <v>73.0</v>
      </c>
      <c r="E3" s="31">
        <v>589.0</v>
      </c>
      <c r="F3" s="28">
        <v>11.33</v>
      </c>
      <c r="G3" s="28">
        <v>131.77</v>
      </c>
      <c r="H3" s="29">
        <v>37.0</v>
      </c>
      <c r="I3" s="31">
        <v>47.0</v>
      </c>
      <c r="J3" s="28">
        <v>12.22</v>
      </c>
      <c r="K3" s="31">
        <v>22.0</v>
      </c>
      <c r="L3" s="30" t="str">
        <f>HYPERLINK("https://cricheroes.com/player-profile/19685723/arijit-roy/stats","View Profile")</f>
        <v>View Profile</v>
      </c>
    </row>
    <row r="4">
      <c r="A4" s="28">
        <v>1.1374748E7</v>
      </c>
      <c r="B4" s="28" t="s">
        <v>151</v>
      </c>
      <c r="C4" s="31">
        <v>46.0</v>
      </c>
      <c r="D4" s="31">
        <v>36.0</v>
      </c>
      <c r="E4" s="31">
        <v>725.0</v>
      </c>
      <c r="F4" s="28">
        <v>30.21</v>
      </c>
      <c r="G4" s="28">
        <v>183.54</v>
      </c>
      <c r="H4" s="29">
        <v>52.0</v>
      </c>
      <c r="I4" s="31">
        <v>21.0</v>
      </c>
      <c r="J4" s="28">
        <v>8.98</v>
      </c>
      <c r="K4" s="31">
        <v>36.0</v>
      </c>
      <c r="L4" s="30" t="str">
        <f>HYPERLINK("https://cricheroes.com/player-profile/11374748/harshit-jaiswal/stats","View Profile")</f>
        <v>View Profile</v>
      </c>
    </row>
    <row r="5">
      <c r="A5" s="28">
        <v>2.8643694E7</v>
      </c>
      <c r="B5" s="28" t="s">
        <v>152</v>
      </c>
      <c r="C5" s="31">
        <v>86.0</v>
      </c>
      <c r="D5" s="31">
        <v>73.0</v>
      </c>
      <c r="E5" s="31">
        <v>715.0</v>
      </c>
      <c r="F5" s="28">
        <v>12.12</v>
      </c>
      <c r="G5" s="28">
        <v>136.45</v>
      </c>
      <c r="H5" s="29">
        <v>60.0</v>
      </c>
      <c r="I5" s="31">
        <v>44.0</v>
      </c>
      <c r="J5" s="28">
        <v>8.8</v>
      </c>
      <c r="K5" s="31">
        <v>35.0</v>
      </c>
      <c r="L5" s="30" t="str">
        <f>HYPERLINK("https://cricheroes.com/player-profile/28643694/pritam-basu/stats","View Profile")</f>
        <v>View Profile</v>
      </c>
    </row>
    <row r="6">
      <c r="A6" s="28">
        <v>1.4374771E7</v>
      </c>
      <c r="B6" s="28" t="s">
        <v>153</v>
      </c>
      <c r="C6" s="31">
        <v>154.0</v>
      </c>
      <c r="D6" s="31">
        <v>55.0</v>
      </c>
      <c r="E6" s="31">
        <v>176.0</v>
      </c>
      <c r="F6" s="28">
        <v>4.89</v>
      </c>
      <c r="G6" s="28">
        <v>86.7</v>
      </c>
      <c r="H6" s="29" t="s">
        <v>154</v>
      </c>
      <c r="I6" s="31">
        <v>23.0</v>
      </c>
      <c r="J6" s="28">
        <v>9.97</v>
      </c>
      <c r="K6" s="31">
        <v>33.0</v>
      </c>
      <c r="L6" s="30" t="str">
        <f>HYPERLINK("https://cricheroes.com/player-profile/14374771/spandan-ganguly/stats","View Profile")</f>
        <v>View Profile</v>
      </c>
    </row>
    <row r="7">
      <c r="A7" s="32">
        <v>2.9077191E7</v>
      </c>
      <c r="B7" s="28" t="s">
        <v>155</v>
      </c>
      <c r="C7" s="31">
        <v>222.0</v>
      </c>
      <c r="D7" s="31">
        <v>178.0</v>
      </c>
      <c r="E7" s="31">
        <v>1471.0</v>
      </c>
      <c r="F7" s="28">
        <v>10.29</v>
      </c>
      <c r="G7" s="28">
        <v>93.34</v>
      </c>
      <c r="H7" s="29">
        <v>60.0</v>
      </c>
      <c r="I7" s="31">
        <v>142.0</v>
      </c>
      <c r="J7" s="28">
        <v>5.62</v>
      </c>
      <c r="K7" s="31">
        <v>89.0</v>
      </c>
      <c r="L7" s="30" t="str">
        <f>HYPERLINK("https://cricheroes.com/player-profile/29077191/fardeen-ali/stats","View Profile")</f>
        <v>View Profile</v>
      </c>
      <c r="O7" s="27"/>
    </row>
    <row r="8">
      <c r="A8" s="32">
        <v>4.6477829E7</v>
      </c>
      <c r="B8" s="28" t="s">
        <v>156</v>
      </c>
      <c r="C8" s="31">
        <v>24.0</v>
      </c>
      <c r="D8" s="31">
        <v>12.0</v>
      </c>
      <c r="E8" s="31">
        <v>117.0</v>
      </c>
      <c r="F8" s="28">
        <v>14.63</v>
      </c>
      <c r="G8" s="28">
        <v>156.0</v>
      </c>
      <c r="H8" s="29">
        <v>45.0</v>
      </c>
      <c r="I8" s="31">
        <v>12.0</v>
      </c>
      <c r="J8" s="28">
        <v>10.22</v>
      </c>
      <c r="K8" s="31">
        <v>10.0</v>
      </c>
      <c r="L8" s="30" t="str">
        <f>HYPERLINK("https://cricheroes.com/player-profile/46477829/sankar-ghosh/stats","View Profile")</f>
        <v>View Profile</v>
      </c>
      <c r="O8" s="27"/>
    </row>
    <row r="9">
      <c r="A9" s="32">
        <v>4.3016896E7</v>
      </c>
      <c r="B9" s="28" t="s">
        <v>157</v>
      </c>
      <c r="C9" s="31">
        <v>63.0</v>
      </c>
      <c r="D9" s="31">
        <v>42.0</v>
      </c>
      <c r="E9" s="31">
        <v>488.0</v>
      </c>
      <c r="F9" s="28">
        <v>14.35</v>
      </c>
      <c r="G9" s="28">
        <v>162.67</v>
      </c>
      <c r="H9" s="29" t="s">
        <v>158</v>
      </c>
      <c r="I9" s="31">
        <v>35.0</v>
      </c>
      <c r="J9" s="28">
        <v>7.92</v>
      </c>
      <c r="K9" s="31">
        <v>35.0</v>
      </c>
      <c r="L9" s="30" t="str">
        <f>HYPERLINK("https://cricheroes.com/player-profile/43016896/arijit/stats","View Profile")</f>
        <v>View Profile</v>
      </c>
      <c r="O9" s="27"/>
    </row>
    <row r="10">
      <c r="A10" s="32">
        <v>1.1616298E7</v>
      </c>
      <c r="B10" s="28" t="s">
        <v>159</v>
      </c>
      <c r="C10" s="31">
        <v>21.0</v>
      </c>
      <c r="D10" s="31">
        <v>7.0</v>
      </c>
      <c r="E10" s="31">
        <v>36.0</v>
      </c>
      <c r="F10" s="28">
        <v>18.0</v>
      </c>
      <c r="G10" s="28">
        <v>120.0</v>
      </c>
      <c r="H10" s="29" t="s">
        <v>160</v>
      </c>
      <c r="I10" s="31">
        <v>8.0</v>
      </c>
      <c r="J10" s="28">
        <v>9.34</v>
      </c>
      <c r="K10" s="31">
        <v>6.0</v>
      </c>
      <c r="L10" s="30" t="str">
        <f>HYPERLINK("https://cricheroes.com/player-profile/11616298/shantanu-chakraborty/stats","View Profile")</f>
        <v>View Profile</v>
      </c>
      <c r="O10" s="33"/>
    </row>
    <row r="11">
      <c r="A11" s="32">
        <v>3.7888165E7</v>
      </c>
      <c r="B11" s="28" t="s">
        <v>161</v>
      </c>
      <c r="C11" s="31">
        <v>105.0</v>
      </c>
      <c r="D11" s="31">
        <v>76.0</v>
      </c>
      <c r="E11" s="31">
        <v>865.0</v>
      </c>
      <c r="F11" s="28">
        <v>17.65</v>
      </c>
      <c r="G11" s="28">
        <v>191.37</v>
      </c>
      <c r="H11" s="29" t="s">
        <v>162</v>
      </c>
      <c r="I11" s="31">
        <v>39.0</v>
      </c>
      <c r="J11" s="28">
        <v>11.6</v>
      </c>
      <c r="K11" s="31">
        <v>61.0</v>
      </c>
      <c r="L11" s="30" t="str">
        <f>HYPERLINK("https://cricheroes.com/player-profile/37888165/bijon-mondal/stats","View Profile")</f>
        <v>View Profile</v>
      </c>
      <c r="O11" s="27"/>
    </row>
    <row r="12">
      <c r="A12" s="32">
        <v>1.1077697E7</v>
      </c>
      <c r="B12" s="28" t="s">
        <v>163</v>
      </c>
      <c r="C12" s="31">
        <v>46.0</v>
      </c>
      <c r="D12" s="31">
        <v>40.0</v>
      </c>
      <c r="E12" s="31">
        <v>507.0</v>
      </c>
      <c r="F12" s="28">
        <v>18.78</v>
      </c>
      <c r="G12" s="28">
        <v>169.0</v>
      </c>
      <c r="H12" s="29">
        <v>60.0</v>
      </c>
      <c r="I12" s="31">
        <v>20.0</v>
      </c>
      <c r="J12" s="28">
        <v>9.29</v>
      </c>
      <c r="K12" s="31">
        <v>25.0</v>
      </c>
      <c r="L12" s="30" t="str">
        <f>HYPERLINK("https://cricheroes.com/player-profile/11077697/ankit-jaiswal/stats","View Profile")</f>
        <v>View Profile</v>
      </c>
      <c r="O12" s="27"/>
    </row>
    <row r="13">
      <c r="A13" s="28">
        <v>3.3758093E7</v>
      </c>
      <c r="B13" s="28" t="s">
        <v>164</v>
      </c>
      <c r="C13" s="31">
        <v>15.0</v>
      </c>
      <c r="D13" s="31">
        <v>11.0</v>
      </c>
      <c r="E13" s="31">
        <v>184.0</v>
      </c>
      <c r="F13" s="28">
        <v>26.29</v>
      </c>
      <c r="G13" s="28">
        <v>213.95</v>
      </c>
      <c r="H13" s="29">
        <v>41.0</v>
      </c>
      <c r="I13" s="31">
        <v>5.0</v>
      </c>
      <c r="J13" s="28">
        <v>15.12</v>
      </c>
      <c r="K13" s="31">
        <v>11.0</v>
      </c>
      <c r="L13" s="30" t="str">
        <f>HYPERLINK("https://cricheroes.com/player-profile/33758093/shubham-kumar/stats","View Profile")</f>
        <v>View Profile</v>
      </c>
      <c r="O13" s="27"/>
    </row>
    <row r="14">
      <c r="A14" s="28">
        <v>3371745.0</v>
      </c>
      <c r="B14" s="28" t="s">
        <v>165</v>
      </c>
      <c r="C14" s="31">
        <v>107.0</v>
      </c>
      <c r="D14" s="31">
        <v>89.0</v>
      </c>
      <c r="E14" s="31">
        <v>1711.0</v>
      </c>
      <c r="F14" s="28">
        <v>21.12</v>
      </c>
      <c r="G14" s="28">
        <v>131.21</v>
      </c>
      <c r="H14" s="29">
        <v>105.0</v>
      </c>
      <c r="I14" s="31">
        <v>117.0</v>
      </c>
      <c r="J14" s="28">
        <v>8.88</v>
      </c>
      <c r="K14" s="31">
        <v>38.0</v>
      </c>
      <c r="L14" s="30" t="str">
        <f>HYPERLINK("https://cricheroes.com/player-profile/3371745/debashish-roy/stats","View Profile")</f>
        <v>View Profile</v>
      </c>
    </row>
    <row r="15">
      <c r="A15" s="32">
        <v>2.4512366E7</v>
      </c>
      <c r="B15" s="28" t="s">
        <v>166</v>
      </c>
      <c r="C15" s="31">
        <v>47.0</v>
      </c>
      <c r="D15" s="31">
        <v>38.0</v>
      </c>
      <c r="E15" s="31">
        <v>439.0</v>
      </c>
      <c r="F15" s="28">
        <v>15.14</v>
      </c>
      <c r="G15" s="28">
        <v>181.4</v>
      </c>
      <c r="H15" s="29">
        <v>51.0</v>
      </c>
      <c r="I15" s="31">
        <v>25.0</v>
      </c>
      <c r="J15" s="28">
        <v>12.77</v>
      </c>
      <c r="K15" s="31">
        <v>16.0</v>
      </c>
      <c r="L15" s="30" t="str">
        <f>HYPERLINK("https://cricheroes.com/player-profile/24512366/swapneel-chakraborty/stats","View Profile")</f>
        <v>View Profile</v>
      </c>
      <c r="O15" s="27"/>
    </row>
    <row r="16">
      <c r="A16" s="32">
        <v>3.8392651E7</v>
      </c>
      <c r="B16" s="28" t="s">
        <v>167</v>
      </c>
      <c r="C16" s="31">
        <v>79.0</v>
      </c>
      <c r="D16" s="31">
        <v>54.0</v>
      </c>
      <c r="E16" s="31">
        <v>623.0</v>
      </c>
      <c r="F16" s="28">
        <v>19.47</v>
      </c>
      <c r="G16" s="28">
        <v>171.63</v>
      </c>
      <c r="H16" s="29" t="s">
        <v>168</v>
      </c>
      <c r="I16" s="31">
        <v>28.0</v>
      </c>
      <c r="J16" s="28">
        <v>10.25</v>
      </c>
      <c r="K16" s="31">
        <v>31.0</v>
      </c>
      <c r="L16" s="30" t="str">
        <f>HYPERLINK("https://cricheroes.com/player-profile/38392651/dhritiman-dey/stats","View Profile")</f>
        <v>View Profile</v>
      </c>
      <c r="O16" s="27"/>
    </row>
    <row r="17">
      <c r="A17" s="32">
        <v>4.5002297E7</v>
      </c>
      <c r="B17" s="28" t="s">
        <v>169</v>
      </c>
      <c r="C17" s="31">
        <v>14.0</v>
      </c>
      <c r="D17" s="31">
        <v>11.0</v>
      </c>
      <c r="E17" s="31">
        <v>110.0</v>
      </c>
      <c r="F17" s="28">
        <v>18.33</v>
      </c>
      <c r="G17" s="28">
        <v>142.86</v>
      </c>
      <c r="H17" s="29" t="s">
        <v>170</v>
      </c>
      <c r="I17" s="31">
        <v>13.0</v>
      </c>
      <c r="J17" s="28">
        <v>8.73</v>
      </c>
      <c r="K17" s="31">
        <v>6.0</v>
      </c>
      <c r="L17" s="30" t="str">
        <f>HYPERLINK("https://cricheroes.com/player-profile/45002297/rahul/stats","View Profile")</f>
        <v>View Profile</v>
      </c>
      <c r="O17" s="27"/>
    </row>
    <row r="18">
      <c r="A18" s="32">
        <v>3.6055152E7</v>
      </c>
      <c r="B18" s="28" t="s">
        <v>171</v>
      </c>
      <c r="C18" s="31">
        <v>73.0</v>
      </c>
      <c r="D18" s="31">
        <v>50.0</v>
      </c>
      <c r="E18" s="31">
        <v>401.0</v>
      </c>
      <c r="F18" s="28">
        <v>10.84</v>
      </c>
      <c r="G18" s="28">
        <v>131.48</v>
      </c>
      <c r="H18" s="29" t="s">
        <v>172</v>
      </c>
      <c r="I18" s="31">
        <v>25.0</v>
      </c>
      <c r="J18" s="28">
        <v>12.68</v>
      </c>
      <c r="K18" s="31">
        <v>36.0</v>
      </c>
      <c r="L18" s="30" t="str">
        <f>HYPERLINK("https://cricheroes.com/player-profile/36055152/rohit-ghosh/stats","View Profile")</f>
        <v>View Profile</v>
      </c>
      <c r="O18" s="33"/>
    </row>
    <row r="19">
      <c r="A19" s="32">
        <v>3.0299329E7</v>
      </c>
      <c r="B19" s="28" t="s">
        <v>173</v>
      </c>
      <c r="C19" s="31">
        <v>69.0</v>
      </c>
      <c r="D19" s="31">
        <v>27.0</v>
      </c>
      <c r="E19" s="31">
        <v>76.0</v>
      </c>
      <c r="F19" s="28">
        <v>3.8</v>
      </c>
      <c r="G19" s="28">
        <v>86.36</v>
      </c>
      <c r="H19" s="29">
        <v>20.0</v>
      </c>
      <c r="I19" s="31">
        <v>9.0</v>
      </c>
      <c r="J19" s="28">
        <v>14.69</v>
      </c>
      <c r="K19" s="31">
        <v>7.0</v>
      </c>
      <c r="L19" s="30" t="str">
        <f>HYPERLINK("https://cricheroes.com/player-profile/30299329/kuntal-das/stats","View Profile")</f>
        <v>View Profile</v>
      </c>
      <c r="O19" s="33"/>
    </row>
    <row r="20">
      <c r="A20" s="32">
        <v>1.0984519E7</v>
      </c>
      <c r="B20" s="28" t="s">
        <v>174</v>
      </c>
      <c r="C20" s="31">
        <v>187.0</v>
      </c>
      <c r="D20" s="31">
        <v>152.0</v>
      </c>
      <c r="E20" s="31">
        <v>3072.0</v>
      </c>
      <c r="F20" s="28">
        <v>29.26</v>
      </c>
      <c r="G20" s="28">
        <v>213.63</v>
      </c>
      <c r="H20" s="29" t="s">
        <v>175</v>
      </c>
      <c r="I20" s="31">
        <v>105.0</v>
      </c>
      <c r="J20" s="28">
        <v>9.05</v>
      </c>
      <c r="K20" s="31">
        <v>127.0</v>
      </c>
      <c r="L20" s="30" t="str">
        <f>HYPERLINK("https://cricheroes.com/player-profile/10984519/ujjawal-jha/stats","View Profile")</f>
        <v>View Profile</v>
      </c>
      <c r="O20" s="33"/>
    </row>
    <row r="21">
      <c r="A21" s="32">
        <v>4.8762345E7</v>
      </c>
      <c r="B21" s="28" t="s">
        <v>75</v>
      </c>
      <c r="C21" s="31">
        <v>9.0</v>
      </c>
      <c r="D21" s="31">
        <v>8.0</v>
      </c>
      <c r="E21" s="31">
        <v>144.0</v>
      </c>
      <c r="F21" s="28">
        <v>18.0</v>
      </c>
      <c r="G21" s="28">
        <v>211.76</v>
      </c>
      <c r="H21" s="29">
        <v>35.0</v>
      </c>
      <c r="I21" s="31">
        <v>5.0</v>
      </c>
      <c r="J21" s="28">
        <v>11.6</v>
      </c>
      <c r="K21" s="31">
        <v>8.0</v>
      </c>
      <c r="L21" s="30" t="str">
        <f>HYPERLINK("https://cricheroes.com/player-profile/48762345/jewel-johnson/stats","View Profile")</f>
        <v>View Profile</v>
      </c>
      <c r="O21" s="33"/>
    </row>
    <row r="22">
      <c r="A22" s="32">
        <v>1.2060387E7</v>
      </c>
      <c r="B22" s="28" t="s">
        <v>176</v>
      </c>
      <c r="C22" s="31">
        <v>140.0</v>
      </c>
      <c r="D22" s="31">
        <v>120.0</v>
      </c>
      <c r="E22" s="31">
        <v>1874.0</v>
      </c>
      <c r="F22" s="28">
        <v>22.58</v>
      </c>
      <c r="G22" s="28">
        <v>172.08</v>
      </c>
      <c r="H22" s="29" t="s">
        <v>177</v>
      </c>
      <c r="I22" s="31">
        <v>82.0</v>
      </c>
      <c r="J22" s="28">
        <v>9.89</v>
      </c>
      <c r="K22" s="31">
        <v>93.0</v>
      </c>
      <c r="L22" s="30" t="str">
        <f>HYPERLINK("https://cricheroes.com/player-profile/12060387/abhishek-sarkar/stats","View Profile")</f>
        <v>View Profile</v>
      </c>
      <c r="O22" s="27"/>
    </row>
    <row r="23">
      <c r="A23" s="32">
        <v>2.3646088E7</v>
      </c>
      <c r="B23" s="28" t="s">
        <v>178</v>
      </c>
      <c r="C23" s="31">
        <v>94.0</v>
      </c>
      <c r="D23" s="31">
        <v>83.0</v>
      </c>
      <c r="E23" s="31">
        <v>1295.0</v>
      </c>
      <c r="F23" s="28">
        <v>18.77</v>
      </c>
      <c r="G23" s="28">
        <v>189.6</v>
      </c>
      <c r="H23" s="29" t="s">
        <v>179</v>
      </c>
      <c r="I23" s="31">
        <v>30.0</v>
      </c>
      <c r="J23" s="28">
        <v>12.57</v>
      </c>
      <c r="K23" s="31">
        <v>44.0</v>
      </c>
      <c r="L23" s="30" t="str">
        <f>HYPERLINK("https://cricheroes.com/player-profile/23646088/dragleeoo/stats","View Profile")</f>
        <v>View Profile</v>
      </c>
      <c r="O23" s="27"/>
    </row>
    <row r="24">
      <c r="A24" s="32">
        <v>4779842.0</v>
      </c>
      <c r="B24" s="28" t="s">
        <v>180</v>
      </c>
      <c r="C24" s="31">
        <v>154.0</v>
      </c>
      <c r="D24" s="31">
        <v>131.0</v>
      </c>
      <c r="E24" s="31">
        <v>2294.0</v>
      </c>
      <c r="F24" s="28">
        <v>22.71</v>
      </c>
      <c r="G24" s="28">
        <v>183.08</v>
      </c>
      <c r="H24" s="29" t="s">
        <v>181</v>
      </c>
      <c r="I24" s="31">
        <v>59.0</v>
      </c>
      <c r="J24" s="28">
        <v>10.5</v>
      </c>
      <c r="K24" s="31">
        <v>46.0</v>
      </c>
      <c r="L24" s="30" t="str">
        <f>HYPERLINK("https://cricheroes.com/player-profile/4779842/subhasish-das/stats","View Profile")</f>
        <v>View Profile</v>
      </c>
      <c r="O24" s="27"/>
    </row>
    <row r="25">
      <c r="A25" s="32">
        <v>4258050.0</v>
      </c>
      <c r="B25" s="28" t="s">
        <v>89</v>
      </c>
      <c r="C25" s="31">
        <v>204.0</v>
      </c>
      <c r="D25" s="31">
        <v>172.0</v>
      </c>
      <c r="E25" s="31">
        <v>1721.0</v>
      </c>
      <c r="F25" s="28">
        <v>12.56</v>
      </c>
      <c r="G25" s="28">
        <v>148.36</v>
      </c>
      <c r="H25" s="29" t="s">
        <v>182</v>
      </c>
      <c r="I25" s="31">
        <v>110.0</v>
      </c>
      <c r="J25" s="28">
        <v>10.38</v>
      </c>
      <c r="K25" s="31">
        <v>63.0</v>
      </c>
      <c r="L25" s="30" t="str">
        <f>HYPERLINK("https://cricheroes.com/player-profile/4258050/jit/stats","View Profile")</f>
        <v>View Profile</v>
      </c>
      <c r="O25" s="33"/>
    </row>
    <row r="26">
      <c r="A26" s="28">
        <v>1.0984703E7</v>
      </c>
      <c r="B26" s="28" t="s">
        <v>183</v>
      </c>
      <c r="C26" s="31">
        <v>48.0</v>
      </c>
      <c r="D26" s="31">
        <v>40.0</v>
      </c>
      <c r="E26" s="31">
        <v>498.0</v>
      </c>
      <c r="F26" s="28">
        <v>16.06</v>
      </c>
      <c r="G26" s="28">
        <v>172.92</v>
      </c>
      <c r="H26" s="29" t="s">
        <v>184</v>
      </c>
      <c r="I26" s="31">
        <v>26.0</v>
      </c>
      <c r="J26" s="28">
        <v>11.25</v>
      </c>
      <c r="K26" s="31">
        <v>15.0</v>
      </c>
      <c r="L26" s="30" t="str">
        <f>HYPERLINK("https://cricheroes.com/player-profile/10984703/aman-jaiswal/stats","View Profile")</f>
        <v>View Profile</v>
      </c>
    </row>
    <row r="27">
      <c r="A27" s="28">
        <v>1.0967531E7</v>
      </c>
      <c r="B27" s="28" t="s">
        <v>185</v>
      </c>
      <c r="C27" s="31">
        <v>79.0</v>
      </c>
      <c r="D27" s="31">
        <v>59.0</v>
      </c>
      <c r="E27" s="31">
        <v>1028.0</v>
      </c>
      <c r="F27" s="28">
        <v>23.91</v>
      </c>
      <c r="G27" s="28">
        <v>179.72</v>
      </c>
      <c r="H27" s="29" t="s">
        <v>186</v>
      </c>
      <c r="I27" s="31">
        <v>28.0</v>
      </c>
      <c r="J27" s="28">
        <v>11.31</v>
      </c>
      <c r="K27" s="31">
        <v>37.0</v>
      </c>
      <c r="L27" s="30" t="str">
        <f>HYPERLINK("https://cricheroes.com/player-profile/10967531/sawon-bhattacharya/stats","View Profile")</f>
        <v>View Profile</v>
      </c>
      <c r="O27" s="33"/>
    </row>
    <row r="28">
      <c r="A28" s="28">
        <v>4.9414345E7</v>
      </c>
      <c r="B28" s="28" t="s">
        <v>92</v>
      </c>
      <c r="C28" s="31">
        <v>9.0</v>
      </c>
      <c r="D28" s="31">
        <v>6.0</v>
      </c>
      <c r="E28" s="31">
        <v>85.0</v>
      </c>
      <c r="F28" s="28">
        <v>17.0</v>
      </c>
      <c r="G28" s="28">
        <v>151.79</v>
      </c>
      <c r="H28" s="29">
        <v>39.0</v>
      </c>
      <c r="I28" s="31">
        <v>3.0</v>
      </c>
      <c r="J28" s="28">
        <v>11.33</v>
      </c>
      <c r="K28" s="31">
        <v>2.0</v>
      </c>
      <c r="L28" s="30" t="str">
        <f>HYPERLINK("https://cricheroes.com/player-profile/49414345/indronil-das/stats","View Profile")</f>
        <v>View Profile</v>
      </c>
    </row>
    <row r="29">
      <c r="A29" s="28">
        <v>4.4521368E7</v>
      </c>
      <c r="B29" s="28" t="s">
        <v>187</v>
      </c>
      <c r="H29" s="34"/>
      <c r="K29" s="31">
        <v>0.0</v>
      </c>
      <c r="L29" s="30" t="str">
        <f>HYPERLINK("https://cricheroes.com/player-profile/44521368/avi-sengupta/stats","View Profile")</f>
        <v>View Profile</v>
      </c>
    </row>
    <row r="30">
      <c r="A30" s="28">
        <v>1.2060554E7</v>
      </c>
      <c r="B30" s="28" t="s">
        <v>188</v>
      </c>
      <c r="C30" s="31">
        <v>136.0</v>
      </c>
      <c r="D30" s="31">
        <v>106.0</v>
      </c>
      <c r="E30" s="31">
        <v>971.0</v>
      </c>
      <c r="F30" s="28">
        <v>12.14</v>
      </c>
      <c r="G30" s="28">
        <v>161.3</v>
      </c>
      <c r="H30" s="29">
        <v>65.0</v>
      </c>
      <c r="I30" s="31">
        <v>48.0</v>
      </c>
      <c r="J30" s="28">
        <v>10.46</v>
      </c>
      <c r="K30" s="31">
        <v>75.0</v>
      </c>
      <c r="L30" s="30" t="str">
        <f>HYPERLINK("https://cricheroes.com/player-profile/12060554/bony/stats","View Profile")</f>
        <v>View Profile</v>
      </c>
    </row>
    <row r="31">
      <c r="A31" s="28">
        <v>4.0256787E7</v>
      </c>
      <c r="B31" s="28" t="s">
        <v>189</v>
      </c>
      <c r="C31" s="31">
        <v>9.0</v>
      </c>
      <c r="D31" s="31">
        <v>4.0</v>
      </c>
      <c r="E31" s="31">
        <v>38.0</v>
      </c>
      <c r="F31" s="28">
        <v>9.5</v>
      </c>
      <c r="G31" s="28">
        <v>165.22</v>
      </c>
      <c r="H31" s="29">
        <v>21.0</v>
      </c>
      <c r="I31" s="31">
        <v>2.0</v>
      </c>
      <c r="J31" s="28">
        <v>11.29</v>
      </c>
      <c r="K31" s="31">
        <v>2.0</v>
      </c>
      <c r="L31" s="30" t="str">
        <f>HYPERLINK("https://cricheroes.com/player-profile/40256787/avijit-pal-cricket-bhojerhat/stats","View Profile")</f>
        <v>View Profile</v>
      </c>
    </row>
    <row r="32">
      <c r="A32" s="28">
        <v>4.2598564E7</v>
      </c>
      <c r="B32" s="28" t="s">
        <v>103</v>
      </c>
      <c r="C32" s="31">
        <v>126.0</v>
      </c>
      <c r="D32" s="31">
        <v>104.0</v>
      </c>
      <c r="E32" s="31">
        <v>1539.0</v>
      </c>
      <c r="F32" s="28">
        <v>19.48</v>
      </c>
      <c r="G32" s="28">
        <v>191.18</v>
      </c>
      <c r="H32" s="29" t="s">
        <v>190</v>
      </c>
      <c r="I32" s="31">
        <v>48.0</v>
      </c>
      <c r="J32" s="28">
        <v>11.89</v>
      </c>
      <c r="K32" s="31">
        <v>58.0</v>
      </c>
      <c r="L32" s="30" t="str">
        <f>HYPERLINK("https://cricheroes.com/player-profile/42598564/prince/stats","View Profile")</f>
        <v>View Profile</v>
      </c>
    </row>
    <row r="33">
      <c r="A33" s="28">
        <v>4.2627107E7</v>
      </c>
      <c r="B33" s="28" t="s">
        <v>105</v>
      </c>
      <c r="C33" s="31">
        <v>123.0</v>
      </c>
      <c r="D33" s="31">
        <v>54.0</v>
      </c>
      <c r="E33" s="31">
        <v>375.0</v>
      </c>
      <c r="F33" s="28">
        <v>10.14</v>
      </c>
      <c r="G33" s="28">
        <v>120.97</v>
      </c>
      <c r="H33" s="29">
        <v>49.0</v>
      </c>
      <c r="I33" s="31">
        <v>60.0</v>
      </c>
      <c r="J33" s="28">
        <v>10.81</v>
      </c>
      <c r="K33" s="31">
        <v>36.0</v>
      </c>
      <c r="L33" s="30" t="str">
        <f>HYPERLINK("https://cricheroes.com/player-profile/42627107/anirban-guha/stats","View Profile")</f>
        <v>View Profile</v>
      </c>
    </row>
    <row r="34">
      <c r="A34" s="28">
        <v>4.7133527E7</v>
      </c>
      <c r="B34" s="28" t="s">
        <v>191</v>
      </c>
      <c r="C34" s="31">
        <v>72.0</v>
      </c>
      <c r="D34" s="31">
        <v>48.0</v>
      </c>
      <c r="E34" s="31">
        <v>648.0</v>
      </c>
      <c r="F34" s="28">
        <v>16.62</v>
      </c>
      <c r="G34" s="28">
        <v>165.73</v>
      </c>
      <c r="H34" s="29">
        <v>54.0</v>
      </c>
      <c r="I34" s="31">
        <v>33.0</v>
      </c>
      <c r="J34" s="28">
        <v>10.08</v>
      </c>
      <c r="K34" s="31">
        <v>29.0</v>
      </c>
      <c r="L34" s="30" t="str">
        <f>HYPERLINK("https://cricheroes.com/player-profile/47133527/sen/stats","View Profile")</f>
        <v>View Profile</v>
      </c>
    </row>
    <row r="35">
      <c r="A35" s="28">
        <v>4.4011252E7</v>
      </c>
      <c r="B35" s="28" t="s">
        <v>111</v>
      </c>
      <c r="C35" s="31">
        <v>55.0</v>
      </c>
      <c r="D35" s="31">
        <v>37.0</v>
      </c>
      <c r="E35" s="31">
        <v>732.0</v>
      </c>
      <c r="F35" s="28">
        <v>27.11</v>
      </c>
      <c r="G35" s="28">
        <v>196.77</v>
      </c>
      <c r="H35" s="29" t="s">
        <v>192</v>
      </c>
      <c r="I35" s="31">
        <v>12.0</v>
      </c>
      <c r="J35" s="28">
        <v>11.04</v>
      </c>
      <c r="K35" s="31">
        <v>17.0</v>
      </c>
      <c r="L35" s="30" t="str">
        <f>HYPERLINK("https://cricheroes.com/player-profile/44011252/salman/stats","View Profile")</f>
        <v>View Profile</v>
      </c>
    </row>
    <row r="36">
      <c r="A36" s="28">
        <v>2320856.0</v>
      </c>
      <c r="B36" s="28" t="s">
        <v>193</v>
      </c>
      <c r="C36" s="31">
        <v>648.0</v>
      </c>
      <c r="D36" s="31">
        <v>433.0</v>
      </c>
      <c r="E36" s="31">
        <v>6590.0</v>
      </c>
      <c r="F36" s="28">
        <v>21.61</v>
      </c>
      <c r="G36" s="28">
        <v>193.77</v>
      </c>
      <c r="H36" s="29">
        <v>88.0</v>
      </c>
      <c r="I36" s="31">
        <v>575.0</v>
      </c>
      <c r="J36" s="28">
        <v>11.88</v>
      </c>
      <c r="K36" s="31">
        <v>394.0</v>
      </c>
      <c r="L36" s="30" t="str">
        <f>HYPERLINK("https://cricheroes.com/player-profile/2320856/balaram-shil/stats","View Profile")</f>
        <v>View Profile</v>
      </c>
    </row>
    <row r="37">
      <c r="A37" s="28">
        <v>2.1857884E7</v>
      </c>
      <c r="B37" s="28" t="s">
        <v>194</v>
      </c>
      <c r="C37" s="31">
        <v>79.0</v>
      </c>
      <c r="D37" s="31">
        <v>60.0</v>
      </c>
      <c r="E37" s="31">
        <v>858.0</v>
      </c>
      <c r="F37" s="28">
        <v>17.16</v>
      </c>
      <c r="G37" s="28">
        <v>186.93</v>
      </c>
      <c r="H37" s="29">
        <v>102.0</v>
      </c>
      <c r="I37" s="31">
        <v>10.0</v>
      </c>
      <c r="J37" s="28">
        <v>14.33</v>
      </c>
      <c r="K37" s="31">
        <v>38.0</v>
      </c>
      <c r="L37" s="30" t="str">
        <f>HYPERLINK("https://cricheroes.com/player-profile/21857884/harshit/stats","View Profile")</f>
        <v>View Profile</v>
      </c>
    </row>
    <row r="38">
      <c r="A38" s="28">
        <v>3.450753E7</v>
      </c>
      <c r="B38" s="28" t="s">
        <v>195</v>
      </c>
      <c r="C38" s="31">
        <v>161.0</v>
      </c>
      <c r="D38" s="31">
        <v>93.0</v>
      </c>
      <c r="E38" s="31">
        <v>692.0</v>
      </c>
      <c r="F38" s="28">
        <v>11.16</v>
      </c>
      <c r="G38" s="28">
        <v>150.11</v>
      </c>
      <c r="H38" s="29" t="s">
        <v>184</v>
      </c>
      <c r="I38" s="31">
        <v>56.0</v>
      </c>
      <c r="J38" s="28">
        <v>11.82</v>
      </c>
      <c r="K38" s="31">
        <v>35.0</v>
      </c>
      <c r="L38" s="30" t="str">
        <f>HYPERLINK("https://cricheroes.com/player-profile/34507530/ananya-roy/stats","View Profile")</f>
        <v>View Profile</v>
      </c>
    </row>
    <row r="39">
      <c r="A39" s="28">
        <v>2.9988182E7</v>
      </c>
      <c r="B39" s="28" t="s">
        <v>196</v>
      </c>
      <c r="C39" s="31">
        <v>46.0</v>
      </c>
      <c r="D39" s="31">
        <v>36.0</v>
      </c>
      <c r="E39" s="31">
        <v>463.0</v>
      </c>
      <c r="F39" s="28">
        <v>15.43</v>
      </c>
      <c r="G39" s="28">
        <v>159.11</v>
      </c>
      <c r="H39" s="29">
        <v>41.0</v>
      </c>
      <c r="I39" s="31">
        <v>13.0</v>
      </c>
      <c r="J39" s="28">
        <v>10.68</v>
      </c>
      <c r="K39" s="31">
        <v>26.0</v>
      </c>
      <c r="L39" s="30" t="str">
        <f>HYPERLINK("https://cricheroes.com/player-profile/29988182/tushal-shaw/stats","View Profile")</f>
        <v>View Profile</v>
      </c>
    </row>
    <row r="40">
      <c r="A40" s="28">
        <v>1.2060748E7</v>
      </c>
      <c r="B40" s="28" t="s">
        <v>123</v>
      </c>
      <c r="C40" s="31">
        <v>110.0</v>
      </c>
      <c r="D40" s="31">
        <v>61.0</v>
      </c>
      <c r="E40" s="31">
        <v>372.0</v>
      </c>
      <c r="F40" s="28">
        <v>9.07</v>
      </c>
      <c r="G40" s="28">
        <v>134.78</v>
      </c>
      <c r="H40" s="29">
        <v>30.0</v>
      </c>
      <c r="I40" s="31">
        <v>43.0</v>
      </c>
      <c r="J40" s="28">
        <v>10.77</v>
      </c>
      <c r="K40" s="31">
        <v>33.0</v>
      </c>
      <c r="L40" s="30" t="str">
        <f>HYPERLINK("https://cricheroes.com/player-profile/12060748/joy-mitra/stats","View Profile")</f>
        <v>View Profile</v>
      </c>
    </row>
    <row r="41">
      <c r="A41" s="28">
        <v>2.2819671E7</v>
      </c>
      <c r="B41" s="28" t="s">
        <v>197</v>
      </c>
      <c r="C41" s="31">
        <v>51.0</v>
      </c>
      <c r="D41" s="31">
        <v>37.0</v>
      </c>
      <c r="E41" s="31">
        <v>264.0</v>
      </c>
      <c r="F41" s="28">
        <v>9.78</v>
      </c>
      <c r="G41" s="28">
        <v>96.7</v>
      </c>
      <c r="H41" s="29">
        <v>35.0</v>
      </c>
      <c r="I41" s="31">
        <v>58.0</v>
      </c>
      <c r="J41" s="28">
        <v>6.9</v>
      </c>
      <c r="K41" s="31">
        <v>14.0</v>
      </c>
      <c r="L41" s="30" t="str">
        <f>HYPERLINK("https://cricheroes.com/player-profile/22819671/tiyas-chatterjee/stats","View Profile")</f>
        <v>View Profile</v>
      </c>
    </row>
    <row r="42">
      <c r="A42" s="28">
        <v>1.0111284E7</v>
      </c>
      <c r="B42" s="28" t="s">
        <v>198</v>
      </c>
      <c r="C42" s="31">
        <v>20.0</v>
      </c>
      <c r="D42" s="31">
        <v>17.0</v>
      </c>
      <c r="E42" s="31">
        <v>303.0</v>
      </c>
      <c r="F42" s="28">
        <v>43.29</v>
      </c>
      <c r="G42" s="28">
        <v>174.14</v>
      </c>
      <c r="H42" s="29" t="s">
        <v>158</v>
      </c>
      <c r="I42" s="31">
        <v>2.0</v>
      </c>
      <c r="J42" s="28">
        <v>17.83</v>
      </c>
      <c r="K42" s="31">
        <v>15.0</v>
      </c>
      <c r="L42" s="30" t="str">
        <f>HYPERLINK("https://cricheroes.com/player-profile/10111284/arnab-nandy/stats","View Profile")</f>
        <v>View Profile</v>
      </c>
    </row>
    <row r="43">
      <c r="A43" s="28">
        <v>7183132.0</v>
      </c>
      <c r="B43" s="28" t="s">
        <v>199</v>
      </c>
      <c r="C43" s="31">
        <v>261.0</v>
      </c>
      <c r="D43" s="31">
        <v>224.0</v>
      </c>
      <c r="E43" s="31">
        <v>4768.0</v>
      </c>
      <c r="F43" s="28">
        <v>25.36</v>
      </c>
      <c r="G43" s="28">
        <v>185.17</v>
      </c>
      <c r="H43" s="29" t="s">
        <v>200</v>
      </c>
      <c r="I43" s="31">
        <v>121.0</v>
      </c>
      <c r="J43" s="28">
        <v>8.98</v>
      </c>
      <c r="K43" s="31">
        <v>140.0</v>
      </c>
      <c r="L43" s="30" t="str">
        <f>HYPERLINK("https://cricheroes.com/player-profile/7183132/sarajit/stats","View Profile")</f>
        <v>View Profile</v>
      </c>
    </row>
    <row r="44">
      <c r="A44" s="28">
        <v>3.1751306E7</v>
      </c>
      <c r="B44" s="28" t="s">
        <v>201</v>
      </c>
      <c r="C44" s="31">
        <v>22.0</v>
      </c>
      <c r="D44" s="31">
        <v>13.0</v>
      </c>
      <c r="E44" s="31">
        <v>60.0</v>
      </c>
      <c r="F44" s="28">
        <v>7.5</v>
      </c>
      <c r="G44" s="28">
        <v>93.75</v>
      </c>
      <c r="H44" s="29" t="s">
        <v>202</v>
      </c>
      <c r="K44" s="31">
        <v>11.0</v>
      </c>
      <c r="L44" s="30" t="str">
        <f>HYPERLINK("https://cricheroes.com/player-profile/31751306/koushik/stats","View Profile")</f>
        <v>View Profile</v>
      </c>
    </row>
    <row r="45">
      <c r="A45" s="28"/>
      <c r="H45" s="34"/>
    </row>
    <row r="46">
      <c r="A46" s="28"/>
      <c r="H46" s="34"/>
    </row>
    <row r="47">
      <c r="A47" s="28"/>
      <c r="H47" s="34"/>
    </row>
    <row r="48">
      <c r="A48" s="28"/>
      <c r="H48" s="34"/>
    </row>
    <row r="49">
      <c r="A49" s="28"/>
      <c r="H49" s="34"/>
    </row>
    <row r="50">
      <c r="A50" s="28"/>
      <c r="H50" s="34"/>
    </row>
    <row r="51">
      <c r="A51" s="28"/>
      <c r="H51" s="34"/>
    </row>
    <row r="52">
      <c r="A52" s="28"/>
      <c r="H52" s="34"/>
    </row>
    <row r="53">
      <c r="A53" s="28"/>
      <c r="H53" s="34"/>
    </row>
    <row r="54">
      <c r="A54" s="28"/>
      <c r="H54" s="34"/>
    </row>
    <row r="55">
      <c r="A55" s="28"/>
      <c r="H55" s="34"/>
    </row>
    <row r="56">
      <c r="A56" s="28"/>
      <c r="H56" s="34"/>
    </row>
    <row r="57">
      <c r="A57" s="28"/>
      <c r="H57" s="34"/>
    </row>
    <row r="58">
      <c r="A58" s="28"/>
      <c r="H58" s="34"/>
    </row>
    <row r="59">
      <c r="A59" s="28"/>
      <c r="H59" s="34"/>
    </row>
    <row r="60">
      <c r="A60" s="28"/>
      <c r="H60" s="34"/>
    </row>
    <row r="61">
      <c r="A61" s="28"/>
      <c r="H61" s="34"/>
    </row>
    <row r="62">
      <c r="A62" s="28"/>
      <c r="H62" s="34"/>
    </row>
    <row r="63">
      <c r="A63" s="28"/>
      <c r="H63" s="34"/>
    </row>
    <row r="64">
      <c r="A64" s="28"/>
      <c r="H64" s="34"/>
    </row>
    <row r="65">
      <c r="A65" s="28"/>
      <c r="H65" s="34"/>
    </row>
    <row r="66">
      <c r="A66" s="28"/>
      <c r="H66" s="34"/>
    </row>
    <row r="67">
      <c r="A67" s="28"/>
      <c r="H67" s="34"/>
    </row>
    <row r="68">
      <c r="A68" s="28"/>
      <c r="H68" s="34"/>
    </row>
    <row r="69">
      <c r="A69" s="28"/>
      <c r="H69" s="34"/>
    </row>
    <row r="70">
      <c r="A70" s="28"/>
      <c r="H70" s="34"/>
    </row>
    <row r="71">
      <c r="A71" s="28"/>
      <c r="H71" s="34"/>
    </row>
    <row r="72">
      <c r="A72" s="28"/>
      <c r="H72" s="34"/>
    </row>
    <row r="73">
      <c r="A73" s="28"/>
      <c r="H73" s="34"/>
    </row>
    <row r="74">
      <c r="A74" s="28"/>
      <c r="H74" s="34"/>
    </row>
    <row r="75">
      <c r="A75" s="28"/>
      <c r="H75" s="34"/>
    </row>
    <row r="76">
      <c r="A76" s="28"/>
      <c r="H76" s="34"/>
    </row>
    <row r="77">
      <c r="A77" s="28"/>
      <c r="H77" s="34"/>
    </row>
    <row r="78">
      <c r="A78" s="28"/>
      <c r="H78" s="34"/>
    </row>
    <row r="79">
      <c r="A79" s="28"/>
      <c r="H79" s="34"/>
    </row>
    <row r="80">
      <c r="A80" s="28"/>
      <c r="H80" s="34"/>
    </row>
    <row r="81">
      <c r="A81" s="28"/>
      <c r="H81" s="34"/>
    </row>
    <row r="82">
      <c r="A82" s="28"/>
      <c r="H82" s="34"/>
    </row>
    <row r="83">
      <c r="A83" s="28"/>
      <c r="H83" s="34"/>
    </row>
    <row r="84">
      <c r="A84" s="28"/>
      <c r="H84" s="34"/>
    </row>
    <row r="85">
      <c r="A85" s="28"/>
      <c r="H85" s="34"/>
    </row>
    <row r="86">
      <c r="A86" s="28"/>
      <c r="H86" s="34"/>
    </row>
    <row r="87">
      <c r="A87" s="28"/>
      <c r="H87" s="34"/>
    </row>
    <row r="88">
      <c r="A88" s="28"/>
      <c r="H88" s="34"/>
    </row>
    <row r="89">
      <c r="A89" s="28"/>
      <c r="H89" s="34"/>
    </row>
    <row r="90">
      <c r="A90" s="28"/>
      <c r="H90" s="34"/>
    </row>
    <row r="91">
      <c r="A91" s="28"/>
      <c r="H91" s="34"/>
    </row>
    <row r="92">
      <c r="A92" s="28"/>
      <c r="H92" s="34"/>
    </row>
    <row r="93">
      <c r="A93" s="28"/>
      <c r="H93" s="34"/>
    </row>
    <row r="94">
      <c r="A94" s="28"/>
      <c r="H94" s="34"/>
    </row>
    <row r="95">
      <c r="A95" s="28"/>
      <c r="H95" s="34"/>
    </row>
    <row r="96">
      <c r="A96" s="28"/>
      <c r="H96" s="34"/>
    </row>
    <row r="97">
      <c r="A97" s="28"/>
      <c r="H97" s="34"/>
    </row>
    <row r="98">
      <c r="A98" s="28"/>
      <c r="H98" s="34"/>
    </row>
    <row r="99">
      <c r="A99" s="28"/>
      <c r="H99" s="34"/>
    </row>
    <row r="100">
      <c r="A100" s="28"/>
      <c r="H100" s="34"/>
    </row>
    <row r="101">
      <c r="A101" s="28"/>
      <c r="H101" s="34"/>
    </row>
    <row r="102">
      <c r="A102" s="28"/>
      <c r="H102" s="34"/>
    </row>
    <row r="103">
      <c r="A103" s="28"/>
      <c r="H103" s="34"/>
    </row>
    <row r="104">
      <c r="A104" s="28"/>
      <c r="H104" s="34"/>
    </row>
    <row r="105">
      <c r="A105" s="28"/>
      <c r="H105" s="34"/>
    </row>
    <row r="106">
      <c r="A106" s="28"/>
      <c r="H106" s="34"/>
    </row>
    <row r="107">
      <c r="A107" s="28"/>
      <c r="H107" s="34"/>
    </row>
    <row r="108">
      <c r="A108" s="28"/>
      <c r="H108" s="34"/>
    </row>
    <row r="109">
      <c r="A109" s="28"/>
      <c r="H109" s="34"/>
    </row>
    <row r="110">
      <c r="A110" s="28"/>
      <c r="H110" s="34"/>
    </row>
    <row r="111">
      <c r="A111" s="28"/>
      <c r="H111" s="34"/>
    </row>
    <row r="112">
      <c r="A112" s="28"/>
      <c r="H112" s="34"/>
    </row>
    <row r="113">
      <c r="A113" s="28"/>
      <c r="H113" s="34"/>
    </row>
    <row r="114">
      <c r="A114" s="28"/>
      <c r="H114" s="34"/>
    </row>
    <row r="115">
      <c r="A115" s="28"/>
      <c r="H115" s="34"/>
    </row>
    <row r="116">
      <c r="A116" s="28"/>
      <c r="H116" s="34"/>
    </row>
    <row r="117">
      <c r="A117" s="28"/>
      <c r="H117" s="34"/>
    </row>
    <row r="118">
      <c r="A118" s="28"/>
      <c r="H118" s="34"/>
    </row>
    <row r="119">
      <c r="A119" s="28"/>
      <c r="H119" s="34"/>
    </row>
    <row r="120">
      <c r="A120" s="28"/>
      <c r="H120" s="34"/>
    </row>
    <row r="121">
      <c r="A121" s="28"/>
      <c r="H121" s="34"/>
    </row>
    <row r="122">
      <c r="A122" s="28"/>
      <c r="H122" s="34"/>
    </row>
    <row r="123">
      <c r="A123" s="28"/>
      <c r="H123" s="34"/>
    </row>
    <row r="124">
      <c r="A124" s="28"/>
      <c r="H124" s="34"/>
    </row>
    <row r="125">
      <c r="A125" s="28"/>
      <c r="H125" s="34"/>
    </row>
    <row r="126">
      <c r="A126" s="28"/>
      <c r="H126" s="34"/>
    </row>
    <row r="127">
      <c r="A127" s="28"/>
      <c r="H127" s="34"/>
    </row>
    <row r="128">
      <c r="A128" s="28"/>
      <c r="H128" s="34"/>
    </row>
    <row r="129">
      <c r="A129" s="28"/>
      <c r="H129" s="34"/>
    </row>
    <row r="130">
      <c r="A130" s="28"/>
      <c r="H130" s="34"/>
    </row>
    <row r="131">
      <c r="A131" s="28"/>
      <c r="H131" s="34"/>
    </row>
    <row r="132">
      <c r="A132" s="28"/>
      <c r="H132" s="34"/>
    </row>
    <row r="133">
      <c r="A133" s="28"/>
      <c r="H133" s="34"/>
    </row>
    <row r="134">
      <c r="A134" s="28"/>
      <c r="H134" s="34"/>
    </row>
    <row r="135">
      <c r="A135" s="28"/>
      <c r="H135" s="34"/>
    </row>
    <row r="136">
      <c r="A136" s="28"/>
      <c r="H136" s="34"/>
    </row>
    <row r="137">
      <c r="A137" s="28"/>
      <c r="H137" s="34"/>
    </row>
    <row r="138">
      <c r="A138" s="28"/>
      <c r="H138" s="34"/>
    </row>
    <row r="139">
      <c r="A139" s="28"/>
      <c r="H139" s="34"/>
    </row>
    <row r="140">
      <c r="A140" s="28"/>
      <c r="H140" s="34"/>
    </row>
    <row r="141">
      <c r="A141" s="28"/>
      <c r="H141" s="34"/>
    </row>
    <row r="142">
      <c r="A142" s="28"/>
      <c r="H142" s="34"/>
    </row>
    <row r="143">
      <c r="A143" s="28"/>
      <c r="H143" s="34"/>
    </row>
    <row r="144">
      <c r="A144" s="28"/>
      <c r="H144" s="34"/>
    </row>
    <row r="145">
      <c r="A145" s="28"/>
      <c r="H145" s="34"/>
    </row>
    <row r="146">
      <c r="A146" s="28"/>
      <c r="H146" s="34"/>
    </row>
    <row r="147">
      <c r="A147" s="28"/>
      <c r="H147" s="34"/>
    </row>
    <row r="148">
      <c r="A148" s="28"/>
      <c r="H148" s="34"/>
    </row>
    <row r="149">
      <c r="A149" s="28"/>
      <c r="H149" s="34"/>
    </row>
    <row r="150">
      <c r="A150" s="28"/>
      <c r="H150" s="34"/>
    </row>
    <row r="151">
      <c r="A151" s="28"/>
      <c r="H151" s="34"/>
    </row>
    <row r="152">
      <c r="A152" s="28"/>
      <c r="H152" s="34"/>
    </row>
    <row r="153">
      <c r="A153" s="28"/>
      <c r="H153" s="34"/>
    </row>
    <row r="154">
      <c r="A154" s="28"/>
      <c r="H154" s="34"/>
    </row>
    <row r="155">
      <c r="A155" s="28"/>
      <c r="H155" s="34"/>
    </row>
    <row r="156">
      <c r="A156" s="28"/>
      <c r="H156" s="34"/>
    </row>
    <row r="157">
      <c r="A157" s="28"/>
      <c r="H157" s="34"/>
    </row>
    <row r="158">
      <c r="A158" s="28"/>
      <c r="H158" s="34"/>
    </row>
    <row r="159">
      <c r="A159" s="28"/>
      <c r="H159" s="34"/>
    </row>
    <row r="160">
      <c r="A160" s="28"/>
      <c r="H160" s="34"/>
    </row>
    <row r="161">
      <c r="A161" s="28"/>
      <c r="H161" s="34"/>
    </row>
    <row r="162">
      <c r="A162" s="28"/>
      <c r="H162" s="34"/>
    </row>
    <row r="163">
      <c r="A163" s="28"/>
      <c r="H163" s="34"/>
    </row>
    <row r="164">
      <c r="A164" s="28"/>
      <c r="H164" s="34"/>
    </row>
    <row r="165">
      <c r="A165" s="28"/>
      <c r="H165" s="34"/>
    </row>
    <row r="166">
      <c r="A166" s="28"/>
      <c r="H166" s="34"/>
    </row>
    <row r="167">
      <c r="A167" s="28"/>
      <c r="H167" s="34"/>
    </row>
    <row r="168">
      <c r="A168" s="28"/>
      <c r="H168" s="34"/>
    </row>
    <row r="169">
      <c r="A169" s="28"/>
      <c r="H169" s="34"/>
    </row>
    <row r="170">
      <c r="A170" s="28"/>
      <c r="H170" s="34"/>
    </row>
    <row r="171">
      <c r="A171" s="28"/>
      <c r="H171" s="34"/>
    </row>
    <row r="172">
      <c r="A172" s="28"/>
      <c r="H172" s="34"/>
    </row>
    <row r="173">
      <c r="A173" s="28"/>
      <c r="H173" s="34"/>
    </row>
    <row r="174">
      <c r="A174" s="28"/>
      <c r="H174" s="34"/>
    </row>
    <row r="175">
      <c r="A175" s="28"/>
      <c r="H175" s="34"/>
    </row>
    <row r="176">
      <c r="A176" s="28"/>
      <c r="H176" s="34"/>
    </row>
    <row r="177">
      <c r="A177" s="28"/>
      <c r="H177" s="34"/>
    </row>
    <row r="178">
      <c r="A178" s="28"/>
      <c r="H178" s="34"/>
    </row>
    <row r="179">
      <c r="A179" s="28"/>
      <c r="H179" s="34"/>
    </row>
    <row r="180">
      <c r="A180" s="28"/>
      <c r="H180" s="34"/>
    </row>
    <row r="181">
      <c r="A181" s="28"/>
      <c r="H181" s="34"/>
    </row>
    <row r="182">
      <c r="A182" s="28"/>
      <c r="H182" s="34"/>
    </row>
    <row r="183">
      <c r="A183" s="28"/>
      <c r="H183" s="34"/>
    </row>
    <row r="184">
      <c r="A184" s="28"/>
      <c r="H184" s="34"/>
    </row>
    <row r="185">
      <c r="A185" s="28"/>
      <c r="H185" s="34"/>
    </row>
    <row r="186">
      <c r="A186" s="28"/>
      <c r="H186" s="34"/>
    </row>
    <row r="187">
      <c r="A187" s="28"/>
      <c r="H187" s="34"/>
    </row>
    <row r="188">
      <c r="A188" s="28"/>
      <c r="H188" s="34"/>
    </row>
    <row r="189">
      <c r="A189" s="28"/>
      <c r="H189" s="34"/>
    </row>
    <row r="190">
      <c r="A190" s="28"/>
      <c r="H190" s="34"/>
    </row>
    <row r="191">
      <c r="A191" s="28"/>
      <c r="H191" s="34"/>
    </row>
    <row r="192">
      <c r="A192" s="28"/>
      <c r="H192" s="34"/>
    </row>
    <row r="193">
      <c r="A193" s="28"/>
      <c r="H193" s="34"/>
    </row>
    <row r="194">
      <c r="A194" s="28"/>
      <c r="H194" s="34"/>
    </row>
    <row r="195">
      <c r="A195" s="28"/>
      <c r="H195" s="34"/>
    </row>
    <row r="196">
      <c r="A196" s="28"/>
      <c r="H196" s="34"/>
    </row>
    <row r="197">
      <c r="A197" s="28"/>
      <c r="H197" s="34"/>
    </row>
    <row r="198">
      <c r="A198" s="28"/>
      <c r="H198" s="34"/>
    </row>
    <row r="199">
      <c r="A199" s="28"/>
      <c r="H199" s="34"/>
    </row>
    <row r="200">
      <c r="A200" s="28"/>
      <c r="H200" s="34"/>
    </row>
    <row r="201">
      <c r="A201" s="28"/>
      <c r="H201" s="34"/>
    </row>
    <row r="202">
      <c r="A202" s="28"/>
      <c r="H202" s="34"/>
    </row>
    <row r="203">
      <c r="A203" s="28"/>
      <c r="H203" s="34"/>
    </row>
    <row r="204">
      <c r="A204" s="28"/>
      <c r="H204" s="34"/>
    </row>
    <row r="205">
      <c r="A205" s="28"/>
      <c r="H205" s="34"/>
    </row>
    <row r="206">
      <c r="A206" s="28"/>
      <c r="H206" s="34"/>
    </row>
    <row r="207">
      <c r="A207" s="28"/>
      <c r="H207" s="34"/>
    </row>
    <row r="208">
      <c r="A208" s="28"/>
      <c r="H208" s="34"/>
    </row>
    <row r="209">
      <c r="A209" s="28"/>
      <c r="H209" s="34"/>
    </row>
    <row r="210">
      <c r="A210" s="28"/>
      <c r="H210" s="34"/>
    </row>
    <row r="211">
      <c r="A211" s="28"/>
      <c r="H211" s="34"/>
    </row>
    <row r="212">
      <c r="A212" s="28"/>
      <c r="H212" s="34"/>
    </row>
    <row r="213">
      <c r="A213" s="28"/>
      <c r="H213" s="34"/>
    </row>
    <row r="214">
      <c r="A214" s="28"/>
      <c r="H214" s="34"/>
    </row>
    <row r="215">
      <c r="A215" s="28"/>
      <c r="H215" s="34"/>
    </row>
    <row r="216">
      <c r="A216" s="28"/>
      <c r="H216" s="34"/>
    </row>
    <row r="217">
      <c r="A217" s="28"/>
      <c r="H217" s="34"/>
    </row>
    <row r="218">
      <c r="A218" s="28"/>
      <c r="H218" s="34"/>
    </row>
    <row r="219">
      <c r="A219" s="28"/>
      <c r="H219" s="34"/>
    </row>
    <row r="220">
      <c r="A220" s="28"/>
      <c r="H220" s="34"/>
    </row>
    <row r="221">
      <c r="A221" s="28"/>
      <c r="H221" s="34"/>
    </row>
    <row r="222">
      <c r="A222" s="28"/>
      <c r="H222" s="34"/>
    </row>
    <row r="223">
      <c r="A223" s="28"/>
      <c r="H223" s="34"/>
    </row>
    <row r="224">
      <c r="A224" s="28"/>
      <c r="H224" s="34"/>
    </row>
    <row r="225">
      <c r="A225" s="28"/>
      <c r="H225" s="34"/>
    </row>
    <row r="226">
      <c r="A226" s="28"/>
      <c r="H226" s="34"/>
    </row>
    <row r="227">
      <c r="A227" s="28"/>
      <c r="H227" s="34"/>
    </row>
    <row r="228">
      <c r="A228" s="28"/>
      <c r="H228" s="34"/>
    </row>
    <row r="229">
      <c r="A229" s="28"/>
      <c r="H229" s="34"/>
    </row>
    <row r="230">
      <c r="A230" s="28"/>
      <c r="H230" s="34"/>
    </row>
    <row r="231">
      <c r="A231" s="28"/>
      <c r="H231" s="34"/>
    </row>
    <row r="232">
      <c r="A232" s="28"/>
      <c r="H232" s="34"/>
    </row>
    <row r="233">
      <c r="A233" s="28"/>
      <c r="H233" s="34"/>
    </row>
    <row r="234">
      <c r="A234" s="28"/>
      <c r="H234" s="34"/>
    </row>
    <row r="235">
      <c r="A235" s="28"/>
      <c r="H235" s="34"/>
    </row>
    <row r="236">
      <c r="A236" s="28"/>
      <c r="H236" s="34"/>
    </row>
    <row r="237">
      <c r="A237" s="28"/>
      <c r="H237" s="34"/>
    </row>
    <row r="238">
      <c r="A238" s="28"/>
      <c r="H238" s="34"/>
    </row>
    <row r="239">
      <c r="A239" s="28"/>
      <c r="H239" s="34"/>
    </row>
    <row r="240">
      <c r="A240" s="28"/>
      <c r="H240" s="34"/>
    </row>
    <row r="241">
      <c r="A241" s="28"/>
      <c r="H241" s="34"/>
    </row>
    <row r="242">
      <c r="A242" s="28"/>
      <c r="H242" s="34"/>
    </row>
    <row r="243">
      <c r="A243" s="28"/>
      <c r="H243" s="34"/>
    </row>
    <row r="244">
      <c r="A244" s="28"/>
      <c r="H244" s="34"/>
    </row>
    <row r="245">
      <c r="A245" s="28"/>
      <c r="H245" s="34"/>
    </row>
    <row r="246">
      <c r="A246" s="28"/>
      <c r="H246" s="34"/>
    </row>
    <row r="247">
      <c r="A247" s="28"/>
      <c r="H247" s="34"/>
    </row>
    <row r="248">
      <c r="A248" s="28"/>
      <c r="H248" s="34"/>
    </row>
    <row r="249">
      <c r="A249" s="28"/>
      <c r="H249" s="34"/>
    </row>
    <row r="250">
      <c r="A250" s="28"/>
      <c r="H250" s="34"/>
    </row>
    <row r="251">
      <c r="A251" s="28"/>
      <c r="H251" s="34"/>
    </row>
    <row r="252">
      <c r="A252" s="28"/>
      <c r="H252" s="34"/>
    </row>
    <row r="253">
      <c r="A253" s="28"/>
      <c r="H253" s="34"/>
    </row>
    <row r="254">
      <c r="A254" s="28"/>
      <c r="H254" s="34"/>
    </row>
    <row r="255">
      <c r="A255" s="28"/>
      <c r="H255" s="34"/>
    </row>
    <row r="256">
      <c r="A256" s="28"/>
      <c r="H256" s="34"/>
    </row>
    <row r="257">
      <c r="A257" s="28"/>
      <c r="H257" s="34"/>
    </row>
    <row r="258">
      <c r="A258" s="28"/>
      <c r="H258" s="34"/>
    </row>
    <row r="259">
      <c r="A259" s="28"/>
      <c r="H259" s="34"/>
    </row>
    <row r="260">
      <c r="A260" s="28"/>
      <c r="H260" s="34"/>
    </row>
    <row r="261">
      <c r="A261" s="28"/>
      <c r="H261" s="34"/>
    </row>
    <row r="262">
      <c r="A262" s="28"/>
      <c r="H262" s="34"/>
    </row>
    <row r="263">
      <c r="A263" s="28"/>
      <c r="H263" s="34"/>
    </row>
    <row r="264">
      <c r="A264" s="28"/>
      <c r="H264" s="34"/>
    </row>
    <row r="265">
      <c r="A265" s="28"/>
      <c r="H265" s="34"/>
    </row>
    <row r="266">
      <c r="A266" s="28"/>
      <c r="H266" s="34"/>
    </row>
    <row r="267">
      <c r="A267" s="28"/>
      <c r="H267" s="34"/>
    </row>
    <row r="268">
      <c r="A268" s="28"/>
      <c r="H268" s="34"/>
    </row>
    <row r="269">
      <c r="A269" s="28"/>
      <c r="H269" s="34"/>
    </row>
    <row r="270">
      <c r="A270" s="28"/>
      <c r="H270" s="34"/>
    </row>
    <row r="271">
      <c r="A271" s="28"/>
      <c r="H271" s="34"/>
    </row>
    <row r="272">
      <c r="A272" s="28"/>
      <c r="H272" s="34"/>
    </row>
    <row r="273">
      <c r="A273" s="28"/>
      <c r="H273" s="34"/>
    </row>
    <row r="274">
      <c r="A274" s="28"/>
      <c r="H274" s="34"/>
    </row>
    <row r="275">
      <c r="A275" s="28"/>
      <c r="H275" s="34"/>
    </row>
    <row r="276">
      <c r="A276" s="28"/>
      <c r="H276" s="34"/>
    </row>
    <row r="277">
      <c r="A277" s="28"/>
      <c r="H277" s="34"/>
    </row>
    <row r="278">
      <c r="A278" s="28"/>
      <c r="H278" s="34"/>
    </row>
    <row r="279">
      <c r="A279" s="28"/>
      <c r="H279" s="34"/>
    </row>
    <row r="280">
      <c r="A280" s="28"/>
      <c r="H280" s="34"/>
    </row>
    <row r="281">
      <c r="A281" s="28"/>
      <c r="H281" s="34"/>
    </row>
    <row r="282">
      <c r="A282" s="28"/>
      <c r="H282" s="34"/>
    </row>
    <row r="283">
      <c r="A283" s="28"/>
      <c r="H283" s="34"/>
    </row>
    <row r="284">
      <c r="A284" s="28"/>
      <c r="H284" s="34"/>
    </row>
    <row r="285">
      <c r="A285" s="28"/>
      <c r="H285" s="34"/>
    </row>
    <row r="286">
      <c r="A286" s="28"/>
      <c r="H286" s="34"/>
    </row>
    <row r="287">
      <c r="A287" s="28"/>
      <c r="H287" s="34"/>
    </row>
    <row r="288">
      <c r="A288" s="28"/>
      <c r="H288" s="34"/>
    </row>
    <row r="289">
      <c r="A289" s="28"/>
      <c r="H289" s="34"/>
    </row>
    <row r="290">
      <c r="A290" s="28"/>
      <c r="H290" s="34"/>
    </row>
    <row r="291">
      <c r="A291" s="28"/>
      <c r="H291" s="34"/>
    </row>
    <row r="292">
      <c r="A292" s="28"/>
      <c r="H292" s="34"/>
    </row>
    <row r="293">
      <c r="A293" s="28"/>
      <c r="H293" s="34"/>
    </row>
    <row r="294">
      <c r="A294" s="28"/>
      <c r="H294" s="34"/>
    </row>
    <row r="295">
      <c r="A295" s="28"/>
      <c r="H295" s="34"/>
    </row>
    <row r="296">
      <c r="A296" s="28"/>
      <c r="H296" s="34"/>
    </row>
    <row r="297">
      <c r="A297" s="28"/>
      <c r="H297" s="34"/>
    </row>
    <row r="298">
      <c r="A298" s="28"/>
      <c r="H298" s="34"/>
    </row>
    <row r="299">
      <c r="A299" s="28"/>
      <c r="H299" s="34"/>
    </row>
    <row r="300">
      <c r="A300" s="28"/>
      <c r="H300" s="34"/>
    </row>
    <row r="301">
      <c r="A301" s="28"/>
      <c r="H301" s="34"/>
    </row>
    <row r="302">
      <c r="A302" s="28"/>
      <c r="H302" s="34"/>
    </row>
    <row r="303">
      <c r="A303" s="28"/>
      <c r="H303" s="34"/>
    </row>
    <row r="304">
      <c r="A304" s="28"/>
      <c r="H304" s="34"/>
    </row>
    <row r="305">
      <c r="A305" s="28"/>
      <c r="H305" s="34"/>
    </row>
    <row r="306">
      <c r="A306" s="28"/>
      <c r="H306" s="34"/>
    </row>
    <row r="307">
      <c r="A307" s="28"/>
      <c r="H307" s="34"/>
    </row>
    <row r="308">
      <c r="A308" s="28"/>
      <c r="H308" s="34"/>
    </row>
    <row r="309">
      <c r="A309" s="28"/>
      <c r="H309" s="34"/>
    </row>
    <row r="310">
      <c r="A310" s="28"/>
      <c r="H310" s="34"/>
    </row>
    <row r="311">
      <c r="A311" s="28"/>
      <c r="H311" s="34"/>
    </row>
    <row r="312">
      <c r="A312" s="28"/>
      <c r="H312" s="34"/>
    </row>
    <row r="313">
      <c r="A313" s="28"/>
      <c r="H313" s="34"/>
    </row>
    <row r="314">
      <c r="A314" s="28"/>
      <c r="H314" s="34"/>
    </row>
    <row r="315">
      <c r="A315" s="28"/>
      <c r="H315" s="34"/>
    </row>
    <row r="316">
      <c r="A316" s="28"/>
      <c r="H316" s="34"/>
    </row>
    <row r="317">
      <c r="A317" s="28"/>
      <c r="H317" s="34"/>
    </row>
    <row r="318">
      <c r="A318" s="28"/>
      <c r="H318" s="34"/>
    </row>
    <row r="319">
      <c r="A319" s="28"/>
      <c r="H319" s="34"/>
    </row>
    <row r="320">
      <c r="A320" s="28"/>
      <c r="H320" s="34"/>
    </row>
    <row r="321">
      <c r="A321" s="28"/>
      <c r="H321" s="34"/>
    </row>
    <row r="322">
      <c r="A322" s="28"/>
      <c r="H322" s="34"/>
    </row>
    <row r="323">
      <c r="A323" s="28"/>
      <c r="H323" s="34"/>
    </row>
    <row r="324">
      <c r="A324" s="28"/>
      <c r="H324" s="34"/>
    </row>
    <row r="325">
      <c r="A325" s="28"/>
      <c r="H325" s="34"/>
    </row>
    <row r="326">
      <c r="A326" s="28"/>
      <c r="H326" s="34"/>
    </row>
    <row r="327">
      <c r="A327" s="28"/>
      <c r="H327" s="34"/>
    </row>
    <row r="328">
      <c r="A328" s="28"/>
      <c r="H328" s="34"/>
    </row>
    <row r="329">
      <c r="A329" s="28"/>
      <c r="H329" s="34"/>
    </row>
    <row r="330">
      <c r="A330" s="28"/>
      <c r="H330" s="34"/>
    </row>
    <row r="331">
      <c r="A331" s="28"/>
      <c r="H331" s="34"/>
    </row>
    <row r="332">
      <c r="A332" s="28"/>
      <c r="H332" s="34"/>
    </row>
    <row r="333">
      <c r="A333" s="28"/>
      <c r="H333" s="34"/>
    </row>
    <row r="334">
      <c r="A334" s="28"/>
      <c r="H334" s="34"/>
    </row>
    <row r="335">
      <c r="A335" s="28"/>
      <c r="H335" s="34"/>
    </row>
    <row r="336">
      <c r="A336" s="28"/>
      <c r="H336" s="34"/>
    </row>
    <row r="337">
      <c r="A337" s="28"/>
      <c r="H337" s="34"/>
    </row>
    <row r="338">
      <c r="A338" s="28"/>
      <c r="H338" s="34"/>
    </row>
    <row r="339">
      <c r="A339" s="28"/>
      <c r="H339" s="34"/>
    </row>
    <row r="340">
      <c r="A340" s="28"/>
      <c r="H340" s="34"/>
    </row>
    <row r="341">
      <c r="A341" s="28"/>
      <c r="H341" s="34"/>
    </row>
    <row r="342">
      <c r="A342" s="28"/>
      <c r="H342" s="34"/>
    </row>
    <row r="343">
      <c r="A343" s="28"/>
      <c r="H343" s="34"/>
    </row>
    <row r="344">
      <c r="A344" s="28"/>
      <c r="H344" s="34"/>
    </row>
    <row r="345">
      <c r="A345" s="28"/>
      <c r="H345" s="34"/>
    </row>
    <row r="346">
      <c r="A346" s="28"/>
      <c r="H346" s="34"/>
    </row>
    <row r="347">
      <c r="A347" s="28"/>
      <c r="H347" s="34"/>
    </row>
    <row r="348">
      <c r="A348" s="28"/>
      <c r="H348" s="34"/>
    </row>
    <row r="349">
      <c r="A349" s="28"/>
      <c r="H349" s="34"/>
    </row>
    <row r="350">
      <c r="A350" s="28"/>
      <c r="H350" s="34"/>
    </row>
    <row r="351">
      <c r="A351" s="28"/>
      <c r="H351" s="34"/>
    </row>
    <row r="352">
      <c r="A352" s="28"/>
      <c r="H352" s="34"/>
    </row>
    <row r="353">
      <c r="A353" s="28"/>
      <c r="H353" s="34"/>
    </row>
    <row r="354">
      <c r="A354" s="28"/>
      <c r="H354" s="34"/>
    </row>
    <row r="355">
      <c r="A355" s="28"/>
      <c r="H355" s="34"/>
    </row>
    <row r="356">
      <c r="A356" s="28"/>
      <c r="H356" s="34"/>
    </row>
    <row r="357">
      <c r="A357" s="28"/>
      <c r="H357" s="34"/>
    </row>
    <row r="358">
      <c r="A358" s="28"/>
      <c r="H358" s="34"/>
    </row>
    <row r="359">
      <c r="A359" s="28"/>
      <c r="H359" s="34"/>
    </row>
    <row r="360">
      <c r="A360" s="28"/>
      <c r="H360" s="34"/>
    </row>
    <row r="361">
      <c r="A361" s="28"/>
      <c r="H361" s="34"/>
    </row>
    <row r="362">
      <c r="A362" s="28"/>
      <c r="H362" s="34"/>
    </row>
    <row r="363">
      <c r="A363" s="28"/>
      <c r="H363" s="34"/>
    </row>
    <row r="364">
      <c r="A364" s="28"/>
      <c r="H364" s="34"/>
    </row>
    <row r="365">
      <c r="A365" s="28"/>
      <c r="H365" s="34"/>
    </row>
    <row r="366">
      <c r="A366" s="28"/>
      <c r="H366" s="34"/>
    </row>
    <row r="367">
      <c r="A367" s="28"/>
      <c r="H367" s="34"/>
    </row>
    <row r="368">
      <c r="A368" s="28"/>
      <c r="H368" s="34"/>
    </row>
    <row r="369">
      <c r="A369" s="28"/>
      <c r="H369" s="34"/>
    </row>
    <row r="370">
      <c r="A370" s="28"/>
      <c r="H370" s="34"/>
    </row>
    <row r="371">
      <c r="A371" s="28"/>
      <c r="H371" s="34"/>
    </row>
    <row r="372">
      <c r="A372" s="28"/>
      <c r="H372" s="34"/>
    </row>
    <row r="373">
      <c r="A373" s="28"/>
      <c r="H373" s="34"/>
    </row>
    <row r="374">
      <c r="A374" s="28"/>
      <c r="H374" s="34"/>
    </row>
    <row r="375">
      <c r="A375" s="28"/>
      <c r="H375" s="34"/>
    </row>
    <row r="376">
      <c r="A376" s="28"/>
      <c r="H376" s="34"/>
    </row>
    <row r="377">
      <c r="A377" s="28"/>
      <c r="H377" s="34"/>
    </row>
    <row r="378">
      <c r="A378" s="28"/>
      <c r="H378" s="34"/>
    </row>
    <row r="379">
      <c r="A379" s="28"/>
      <c r="H379" s="34"/>
    </row>
    <row r="380">
      <c r="A380" s="28"/>
      <c r="H380" s="34"/>
    </row>
    <row r="381">
      <c r="A381" s="28"/>
      <c r="H381" s="34"/>
    </row>
    <row r="382">
      <c r="A382" s="28"/>
      <c r="H382" s="34"/>
    </row>
    <row r="383">
      <c r="A383" s="28"/>
      <c r="H383" s="34"/>
    </row>
    <row r="384">
      <c r="A384" s="28"/>
      <c r="H384" s="34"/>
    </row>
    <row r="385">
      <c r="A385" s="28"/>
      <c r="H385" s="34"/>
    </row>
    <row r="386">
      <c r="A386" s="28"/>
      <c r="H386" s="34"/>
    </row>
    <row r="387">
      <c r="A387" s="28"/>
      <c r="H387" s="34"/>
    </row>
    <row r="388">
      <c r="A388" s="28"/>
      <c r="H388" s="34"/>
    </row>
    <row r="389">
      <c r="A389" s="28"/>
      <c r="H389" s="34"/>
    </row>
    <row r="390">
      <c r="A390" s="28"/>
      <c r="H390" s="34"/>
    </row>
    <row r="391">
      <c r="A391" s="28"/>
      <c r="H391" s="34"/>
    </row>
    <row r="392">
      <c r="A392" s="28"/>
      <c r="H392" s="34"/>
    </row>
    <row r="393">
      <c r="A393" s="28"/>
      <c r="H393" s="34"/>
    </row>
    <row r="394">
      <c r="A394" s="28"/>
      <c r="H394" s="34"/>
    </row>
    <row r="395">
      <c r="A395" s="28"/>
      <c r="H395" s="34"/>
    </row>
    <row r="396">
      <c r="A396" s="28"/>
      <c r="H396" s="34"/>
    </row>
    <row r="397">
      <c r="A397" s="28"/>
      <c r="H397" s="34"/>
    </row>
    <row r="398">
      <c r="A398" s="28"/>
      <c r="H398" s="34"/>
    </row>
    <row r="399">
      <c r="A399" s="28"/>
      <c r="H399" s="34"/>
    </row>
    <row r="400">
      <c r="A400" s="28"/>
      <c r="H400" s="34"/>
    </row>
    <row r="401">
      <c r="A401" s="28"/>
      <c r="H401" s="34"/>
    </row>
    <row r="402">
      <c r="A402" s="28"/>
      <c r="H402" s="34"/>
    </row>
    <row r="403">
      <c r="A403" s="28"/>
      <c r="H403" s="34"/>
    </row>
    <row r="404">
      <c r="A404" s="28"/>
      <c r="H404" s="34"/>
    </row>
    <row r="405">
      <c r="A405" s="28"/>
      <c r="H405" s="34"/>
    </row>
    <row r="406">
      <c r="A406" s="28"/>
      <c r="H406" s="34"/>
    </row>
    <row r="407">
      <c r="A407" s="28"/>
      <c r="H407" s="34"/>
    </row>
    <row r="408">
      <c r="A408" s="28"/>
      <c r="H408" s="34"/>
    </row>
    <row r="409">
      <c r="A409" s="28"/>
      <c r="H409" s="34"/>
    </row>
    <row r="410">
      <c r="A410" s="28"/>
      <c r="H410" s="34"/>
    </row>
    <row r="411">
      <c r="A411" s="28"/>
      <c r="H411" s="34"/>
    </row>
    <row r="412">
      <c r="A412" s="28"/>
      <c r="H412" s="34"/>
    </row>
    <row r="413">
      <c r="A413" s="28"/>
      <c r="H413" s="34"/>
    </row>
    <row r="414">
      <c r="A414" s="28"/>
      <c r="H414" s="34"/>
    </row>
    <row r="415">
      <c r="A415" s="28"/>
      <c r="H415" s="34"/>
    </row>
    <row r="416">
      <c r="A416" s="28"/>
      <c r="H416" s="34"/>
    </row>
    <row r="417">
      <c r="A417" s="28"/>
      <c r="H417" s="34"/>
    </row>
    <row r="418">
      <c r="A418" s="28"/>
      <c r="H418" s="34"/>
    </row>
    <row r="419">
      <c r="A419" s="28"/>
      <c r="H419" s="34"/>
    </row>
    <row r="420">
      <c r="A420" s="28"/>
      <c r="H420" s="34"/>
    </row>
    <row r="421">
      <c r="A421" s="28"/>
      <c r="H421" s="34"/>
    </row>
    <row r="422">
      <c r="A422" s="28"/>
      <c r="H422" s="34"/>
    </row>
    <row r="423">
      <c r="A423" s="28"/>
      <c r="H423" s="34"/>
    </row>
    <row r="424">
      <c r="A424" s="28"/>
      <c r="H424" s="34"/>
    </row>
    <row r="425">
      <c r="A425" s="28"/>
      <c r="H425" s="34"/>
    </row>
    <row r="426">
      <c r="A426" s="28"/>
      <c r="H426" s="34"/>
    </row>
    <row r="427">
      <c r="A427" s="28"/>
      <c r="H427" s="34"/>
    </row>
    <row r="428">
      <c r="A428" s="28"/>
      <c r="H428" s="34"/>
    </row>
    <row r="429">
      <c r="A429" s="28"/>
      <c r="H429" s="34"/>
    </row>
    <row r="430">
      <c r="A430" s="28"/>
      <c r="H430" s="34"/>
    </row>
    <row r="431">
      <c r="A431" s="28"/>
      <c r="H431" s="34"/>
    </row>
    <row r="432">
      <c r="A432" s="28"/>
      <c r="H432" s="34"/>
    </row>
    <row r="433">
      <c r="A433" s="28"/>
      <c r="H433" s="34"/>
    </row>
    <row r="434">
      <c r="A434" s="28"/>
      <c r="H434" s="34"/>
    </row>
    <row r="435">
      <c r="A435" s="28"/>
      <c r="H435" s="34"/>
    </row>
    <row r="436">
      <c r="A436" s="28"/>
      <c r="H436" s="34"/>
    </row>
    <row r="437">
      <c r="A437" s="28"/>
      <c r="H437" s="34"/>
    </row>
    <row r="438">
      <c r="A438" s="28"/>
      <c r="H438" s="34"/>
    </row>
    <row r="439">
      <c r="A439" s="28"/>
      <c r="H439" s="34"/>
    </row>
    <row r="440">
      <c r="A440" s="28"/>
      <c r="H440" s="34"/>
    </row>
    <row r="441">
      <c r="A441" s="28"/>
      <c r="H441" s="34"/>
    </row>
    <row r="442">
      <c r="A442" s="28"/>
      <c r="H442" s="34"/>
    </row>
    <row r="443">
      <c r="A443" s="28"/>
      <c r="H443" s="34"/>
    </row>
    <row r="444">
      <c r="A444" s="28"/>
      <c r="H444" s="34"/>
    </row>
    <row r="445">
      <c r="A445" s="28"/>
      <c r="H445" s="34"/>
    </row>
    <row r="446">
      <c r="A446" s="28"/>
      <c r="H446" s="34"/>
    </row>
    <row r="447">
      <c r="A447" s="28"/>
      <c r="H447" s="34"/>
    </row>
    <row r="448">
      <c r="A448" s="28"/>
      <c r="H448" s="34"/>
    </row>
    <row r="449">
      <c r="A449" s="28"/>
      <c r="H449" s="34"/>
    </row>
    <row r="450">
      <c r="A450" s="28"/>
      <c r="H450" s="34"/>
    </row>
    <row r="451">
      <c r="A451" s="28"/>
      <c r="H451" s="34"/>
    </row>
    <row r="452">
      <c r="A452" s="28"/>
      <c r="H452" s="34"/>
    </row>
    <row r="453">
      <c r="A453" s="28"/>
      <c r="H453" s="34"/>
    </row>
    <row r="454">
      <c r="A454" s="28"/>
      <c r="H454" s="34"/>
    </row>
    <row r="455">
      <c r="A455" s="28"/>
      <c r="H455" s="34"/>
    </row>
    <row r="456">
      <c r="A456" s="28"/>
      <c r="H456" s="34"/>
    </row>
    <row r="457">
      <c r="A457" s="28"/>
      <c r="H457" s="34"/>
    </row>
    <row r="458">
      <c r="A458" s="28"/>
      <c r="H458" s="34"/>
    </row>
    <row r="459">
      <c r="A459" s="28"/>
      <c r="H459" s="34"/>
    </row>
    <row r="460">
      <c r="A460" s="28"/>
      <c r="H460" s="34"/>
    </row>
    <row r="461">
      <c r="A461" s="28"/>
      <c r="H461" s="34"/>
    </row>
    <row r="462">
      <c r="A462" s="28"/>
      <c r="H462" s="34"/>
    </row>
    <row r="463">
      <c r="A463" s="28"/>
      <c r="H463" s="34"/>
    </row>
    <row r="464">
      <c r="A464" s="28"/>
      <c r="H464" s="34"/>
    </row>
    <row r="465">
      <c r="A465" s="28"/>
      <c r="H465" s="34"/>
    </row>
    <row r="466">
      <c r="A466" s="28"/>
      <c r="H466" s="34"/>
    </row>
    <row r="467">
      <c r="A467" s="28"/>
      <c r="H467" s="34"/>
    </row>
    <row r="468">
      <c r="A468" s="28"/>
      <c r="H468" s="34"/>
    </row>
    <row r="469">
      <c r="A469" s="28"/>
      <c r="H469" s="34"/>
    </row>
    <row r="470">
      <c r="A470" s="28"/>
      <c r="H470" s="34"/>
    </row>
    <row r="471">
      <c r="A471" s="28"/>
      <c r="H471" s="34"/>
    </row>
    <row r="472">
      <c r="A472" s="28"/>
      <c r="H472" s="34"/>
    </row>
    <row r="473">
      <c r="A473" s="28"/>
      <c r="H473" s="34"/>
    </row>
    <row r="474">
      <c r="A474" s="28"/>
      <c r="H474" s="34"/>
    </row>
    <row r="475">
      <c r="A475" s="28"/>
      <c r="H475" s="34"/>
    </row>
    <row r="476">
      <c r="A476" s="28"/>
      <c r="H476" s="34"/>
    </row>
    <row r="477">
      <c r="A477" s="28"/>
      <c r="H477" s="34"/>
    </row>
    <row r="478">
      <c r="A478" s="28"/>
      <c r="H478" s="34"/>
    </row>
    <row r="479">
      <c r="A479" s="28"/>
      <c r="H479" s="34"/>
    </row>
    <row r="480">
      <c r="A480" s="28"/>
      <c r="H480" s="34"/>
    </row>
    <row r="481">
      <c r="A481" s="28"/>
      <c r="H481" s="34"/>
    </row>
    <row r="482">
      <c r="A482" s="28"/>
      <c r="H482" s="34"/>
    </row>
    <row r="483">
      <c r="A483" s="28"/>
      <c r="H483" s="34"/>
    </row>
    <row r="484">
      <c r="A484" s="28"/>
      <c r="H484" s="34"/>
    </row>
    <row r="485">
      <c r="A485" s="28"/>
      <c r="H485" s="34"/>
    </row>
    <row r="486">
      <c r="A486" s="28"/>
      <c r="H486" s="34"/>
    </row>
    <row r="487">
      <c r="A487" s="28"/>
      <c r="H487" s="34"/>
    </row>
    <row r="488">
      <c r="A488" s="28"/>
      <c r="H488" s="34"/>
    </row>
    <row r="489">
      <c r="A489" s="28"/>
      <c r="H489" s="34"/>
    </row>
    <row r="490">
      <c r="A490" s="28"/>
      <c r="H490" s="34"/>
    </row>
    <row r="491">
      <c r="A491" s="28"/>
      <c r="H491" s="34"/>
    </row>
    <row r="492">
      <c r="A492" s="28"/>
      <c r="H492" s="34"/>
    </row>
    <row r="493">
      <c r="A493" s="28"/>
      <c r="H493" s="34"/>
    </row>
    <row r="494">
      <c r="A494" s="28"/>
      <c r="H494" s="34"/>
    </row>
    <row r="495">
      <c r="A495" s="28"/>
      <c r="H495" s="34"/>
    </row>
    <row r="496">
      <c r="A496" s="28"/>
      <c r="H496" s="34"/>
    </row>
    <row r="497">
      <c r="A497" s="28"/>
      <c r="H497" s="34"/>
    </row>
    <row r="498">
      <c r="A498" s="28"/>
      <c r="H498" s="34"/>
    </row>
    <row r="499">
      <c r="A499" s="28"/>
      <c r="H499" s="34"/>
    </row>
    <row r="500">
      <c r="A500" s="28"/>
      <c r="H500" s="34"/>
    </row>
    <row r="501">
      <c r="A501" s="28"/>
      <c r="H501" s="34"/>
    </row>
    <row r="502">
      <c r="A502" s="28"/>
      <c r="H502" s="34"/>
    </row>
    <row r="503">
      <c r="A503" s="28"/>
      <c r="H503" s="34"/>
    </row>
    <row r="504">
      <c r="A504" s="28"/>
      <c r="H504" s="34"/>
    </row>
    <row r="505">
      <c r="A505" s="28"/>
      <c r="H505" s="34"/>
    </row>
    <row r="506">
      <c r="A506" s="28"/>
      <c r="H506" s="34"/>
    </row>
    <row r="507">
      <c r="A507" s="28"/>
      <c r="H507" s="34"/>
    </row>
    <row r="508">
      <c r="A508" s="28"/>
      <c r="H508" s="34"/>
    </row>
    <row r="509">
      <c r="A509" s="28"/>
      <c r="H509" s="34"/>
    </row>
    <row r="510">
      <c r="A510" s="28"/>
      <c r="H510" s="34"/>
    </row>
    <row r="511">
      <c r="A511" s="28"/>
      <c r="H511" s="34"/>
    </row>
    <row r="512">
      <c r="A512" s="28"/>
      <c r="H512" s="34"/>
    </row>
    <row r="513">
      <c r="A513" s="28"/>
      <c r="H513" s="34"/>
    </row>
    <row r="514">
      <c r="A514" s="28"/>
      <c r="H514" s="34"/>
    </row>
    <row r="515">
      <c r="A515" s="28"/>
      <c r="H515" s="34"/>
    </row>
    <row r="516">
      <c r="A516" s="28"/>
      <c r="H516" s="34"/>
    </row>
    <row r="517">
      <c r="A517" s="28"/>
      <c r="H517" s="34"/>
    </row>
    <row r="518">
      <c r="A518" s="28"/>
      <c r="H518" s="34"/>
    </row>
    <row r="519">
      <c r="A519" s="28"/>
      <c r="H519" s="34"/>
    </row>
    <row r="520">
      <c r="A520" s="28"/>
      <c r="H520" s="34"/>
    </row>
    <row r="521">
      <c r="A521" s="28"/>
      <c r="H521" s="34"/>
    </row>
    <row r="522">
      <c r="A522" s="28"/>
      <c r="H522" s="34"/>
    </row>
    <row r="523">
      <c r="A523" s="28"/>
      <c r="H523" s="34"/>
    </row>
    <row r="524">
      <c r="A524" s="28"/>
      <c r="H524" s="34"/>
    </row>
    <row r="525">
      <c r="A525" s="28"/>
      <c r="H525" s="34"/>
    </row>
    <row r="526">
      <c r="A526" s="28"/>
      <c r="H526" s="34"/>
    </row>
    <row r="527">
      <c r="A527" s="28"/>
      <c r="H527" s="34"/>
    </row>
    <row r="528">
      <c r="A528" s="28"/>
      <c r="H528" s="34"/>
    </row>
    <row r="529">
      <c r="A529" s="28"/>
      <c r="H529" s="34"/>
    </row>
    <row r="530">
      <c r="A530" s="28"/>
      <c r="H530" s="34"/>
    </row>
    <row r="531">
      <c r="A531" s="28"/>
      <c r="H531" s="34"/>
    </row>
    <row r="532">
      <c r="A532" s="28"/>
      <c r="H532" s="34"/>
    </row>
    <row r="533">
      <c r="A533" s="28"/>
      <c r="H533" s="34"/>
    </row>
    <row r="534">
      <c r="A534" s="28"/>
      <c r="H534" s="34"/>
    </row>
    <row r="535">
      <c r="A535" s="28"/>
      <c r="H535" s="34"/>
    </row>
    <row r="536">
      <c r="A536" s="28"/>
      <c r="H536" s="34"/>
    </row>
    <row r="537">
      <c r="A537" s="28"/>
      <c r="H537" s="34"/>
    </row>
    <row r="538">
      <c r="A538" s="28"/>
      <c r="H538" s="34"/>
    </row>
    <row r="539">
      <c r="A539" s="28"/>
      <c r="H539" s="34"/>
    </row>
    <row r="540">
      <c r="A540" s="28"/>
      <c r="H540" s="34"/>
    </row>
    <row r="541">
      <c r="A541" s="28"/>
      <c r="H541" s="34"/>
    </row>
    <row r="542">
      <c r="A542" s="28"/>
      <c r="H542" s="34"/>
    </row>
    <row r="543">
      <c r="A543" s="28"/>
      <c r="H543" s="34"/>
    </row>
    <row r="544">
      <c r="A544" s="28"/>
      <c r="H544" s="34"/>
    </row>
    <row r="545">
      <c r="A545" s="28"/>
      <c r="H545" s="34"/>
    </row>
    <row r="546">
      <c r="A546" s="28"/>
      <c r="H546" s="34"/>
    </row>
    <row r="547">
      <c r="A547" s="28"/>
      <c r="H547" s="34"/>
    </row>
    <row r="548">
      <c r="A548" s="28"/>
      <c r="H548" s="34"/>
    </row>
    <row r="549">
      <c r="A549" s="28"/>
      <c r="H549" s="34"/>
    </row>
    <row r="550">
      <c r="A550" s="28"/>
      <c r="H550" s="34"/>
    </row>
    <row r="551">
      <c r="A551" s="28"/>
      <c r="H551" s="34"/>
    </row>
    <row r="552">
      <c r="A552" s="28"/>
      <c r="H552" s="34"/>
    </row>
    <row r="553">
      <c r="A553" s="28"/>
      <c r="H553" s="34"/>
    </row>
    <row r="554">
      <c r="A554" s="28"/>
      <c r="H554" s="34"/>
    </row>
    <row r="555">
      <c r="A555" s="28"/>
      <c r="H555" s="34"/>
    </row>
    <row r="556">
      <c r="A556" s="28"/>
      <c r="H556" s="34"/>
    </row>
    <row r="557">
      <c r="A557" s="28"/>
      <c r="H557" s="34"/>
    </row>
    <row r="558">
      <c r="A558" s="28"/>
      <c r="H558" s="34"/>
    </row>
    <row r="559">
      <c r="A559" s="28"/>
      <c r="H559" s="34"/>
    </row>
    <row r="560">
      <c r="A560" s="28"/>
      <c r="H560" s="34"/>
    </row>
    <row r="561">
      <c r="A561" s="28"/>
      <c r="H561" s="34"/>
    </row>
    <row r="562">
      <c r="A562" s="28"/>
      <c r="H562" s="34"/>
    </row>
    <row r="563">
      <c r="A563" s="28"/>
      <c r="H563" s="34"/>
    </row>
    <row r="564">
      <c r="A564" s="28"/>
      <c r="H564" s="34"/>
    </row>
    <row r="565">
      <c r="A565" s="28"/>
      <c r="H565" s="34"/>
    </row>
    <row r="566">
      <c r="A566" s="28"/>
      <c r="H566" s="34"/>
    </row>
    <row r="567">
      <c r="A567" s="28"/>
      <c r="H567" s="34"/>
    </row>
    <row r="568">
      <c r="A568" s="28"/>
      <c r="H568" s="34"/>
    </row>
    <row r="569">
      <c r="A569" s="28"/>
      <c r="H569" s="34"/>
    </row>
    <row r="570">
      <c r="A570" s="28"/>
      <c r="H570" s="34"/>
    </row>
    <row r="571">
      <c r="A571" s="28"/>
      <c r="H571" s="34"/>
    </row>
    <row r="572">
      <c r="A572" s="28"/>
      <c r="H572" s="34"/>
    </row>
    <row r="573">
      <c r="A573" s="28"/>
      <c r="H573" s="34"/>
    </row>
    <row r="574">
      <c r="A574" s="28"/>
      <c r="H574" s="34"/>
    </row>
    <row r="575">
      <c r="A575" s="28"/>
      <c r="H575" s="34"/>
    </row>
    <row r="576">
      <c r="A576" s="28"/>
      <c r="H576" s="34"/>
    </row>
    <row r="577">
      <c r="A577" s="28"/>
      <c r="H577" s="34"/>
    </row>
    <row r="578">
      <c r="A578" s="28"/>
      <c r="H578" s="34"/>
    </row>
    <row r="579">
      <c r="A579" s="28"/>
      <c r="H579" s="34"/>
    </row>
    <row r="580">
      <c r="A580" s="28"/>
      <c r="H580" s="34"/>
    </row>
    <row r="581">
      <c r="A581" s="28"/>
      <c r="H581" s="34"/>
    </row>
    <row r="582">
      <c r="A582" s="28"/>
      <c r="H582" s="34"/>
    </row>
    <row r="583">
      <c r="A583" s="28"/>
      <c r="H583" s="34"/>
    </row>
    <row r="584">
      <c r="A584" s="28"/>
      <c r="H584" s="34"/>
    </row>
    <row r="585">
      <c r="A585" s="28"/>
      <c r="H585" s="34"/>
    </row>
    <row r="586">
      <c r="A586" s="28"/>
      <c r="H586" s="34"/>
    </row>
    <row r="587">
      <c r="A587" s="28"/>
      <c r="H587" s="34"/>
    </row>
    <row r="588">
      <c r="A588" s="28"/>
      <c r="H588" s="34"/>
    </row>
    <row r="589">
      <c r="A589" s="28"/>
      <c r="H589" s="34"/>
    </row>
    <row r="590">
      <c r="A590" s="28"/>
      <c r="H590" s="34"/>
    </row>
    <row r="591">
      <c r="A591" s="28"/>
      <c r="H591" s="34"/>
    </row>
    <row r="592">
      <c r="A592" s="28"/>
      <c r="H592" s="34"/>
    </row>
    <row r="593">
      <c r="A593" s="28"/>
      <c r="H593" s="34"/>
    </row>
    <row r="594">
      <c r="A594" s="28"/>
      <c r="H594" s="34"/>
    </row>
    <row r="595">
      <c r="A595" s="28"/>
      <c r="H595" s="34"/>
    </row>
    <row r="596">
      <c r="A596" s="28"/>
      <c r="H596" s="34"/>
    </row>
    <row r="597">
      <c r="A597" s="28"/>
      <c r="H597" s="34"/>
    </row>
    <row r="598">
      <c r="A598" s="28"/>
      <c r="H598" s="34"/>
    </row>
    <row r="599">
      <c r="A599" s="28"/>
      <c r="H599" s="34"/>
    </row>
    <row r="600">
      <c r="A600" s="28"/>
      <c r="H600" s="34"/>
    </row>
    <row r="601">
      <c r="A601" s="28"/>
      <c r="H601" s="34"/>
    </row>
    <row r="602">
      <c r="A602" s="28"/>
      <c r="H602" s="34"/>
    </row>
    <row r="603">
      <c r="A603" s="28"/>
      <c r="H603" s="34"/>
    </row>
    <row r="604">
      <c r="A604" s="28"/>
      <c r="H604" s="34"/>
    </row>
    <row r="605">
      <c r="A605" s="28"/>
      <c r="H605" s="34"/>
    </row>
    <row r="606">
      <c r="A606" s="28"/>
      <c r="H606" s="34"/>
    </row>
    <row r="607">
      <c r="A607" s="28"/>
      <c r="H607" s="34"/>
    </row>
    <row r="608">
      <c r="A608" s="28"/>
      <c r="H608" s="34"/>
    </row>
    <row r="609">
      <c r="A609" s="28"/>
      <c r="H609" s="34"/>
    </row>
    <row r="610">
      <c r="A610" s="28"/>
      <c r="H610" s="34"/>
    </row>
    <row r="611">
      <c r="A611" s="28"/>
      <c r="H611" s="34"/>
    </row>
    <row r="612">
      <c r="A612" s="28"/>
      <c r="H612" s="34"/>
    </row>
    <row r="613">
      <c r="A613" s="28"/>
      <c r="H613" s="34"/>
    </row>
    <row r="614">
      <c r="A614" s="28"/>
      <c r="H614" s="34"/>
    </row>
    <row r="615">
      <c r="A615" s="28"/>
      <c r="H615" s="34"/>
    </row>
    <row r="616">
      <c r="A616" s="28"/>
      <c r="H616" s="34"/>
    </row>
    <row r="617">
      <c r="A617" s="28"/>
      <c r="H617" s="34"/>
    </row>
    <row r="618">
      <c r="A618" s="28"/>
      <c r="H618" s="34"/>
    </row>
    <row r="619">
      <c r="A619" s="28"/>
      <c r="H619" s="34"/>
    </row>
    <row r="620">
      <c r="A620" s="28"/>
      <c r="H620" s="34"/>
    </row>
    <row r="621">
      <c r="A621" s="28"/>
      <c r="H621" s="34"/>
    </row>
    <row r="622">
      <c r="A622" s="28"/>
      <c r="H622" s="34"/>
    </row>
    <row r="623">
      <c r="A623" s="28"/>
      <c r="H623" s="34"/>
    </row>
    <row r="624">
      <c r="A624" s="28"/>
      <c r="H624" s="34"/>
    </row>
    <row r="625">
      <c r="A625" s="28"/>
      <c r="H625" s="34"/>
    </row>
    <row r="626">
      <c r="A626" s="28"/>
      <c r="H626" s="34"/>
    </row>
    <row r="627">
      <c r="A627" s="28"/>
      <c r="H627" s="34"/>
    </row>
    <row r="628">
      <c r="A628" s="28"/>
      <c r="H628" s="34"/>
    </row>
    <row r="629">
      <c r="A629" s="28"/>
      <c r="H629" s="34"/>
    </row>
    <row r="630">
      <c r="A630" s="28"/>
      <c r="H630" s="34"/>
    </row>
    <row r="631">
      <c r="A631" s="28"/>
      <c r="H631" s="34"/>
    </row>
    <row r="632">
      <c r="A632" s="28"/>
      <c r="H632" s="34"/>
    </row>
    <row r="633">
      <c r="A633" s="28"/>
      <c r="H633" s="34"/>
    </row>
    <row r="634">
      <c r="A634" s="28"/>
      <c r="H634" s="34"/>
    </row>
    <row r="635">
      <c r="A635" s="28"/>
      <c r="H635" s="34"/>
    </row>
    <row r="636">
      <c r="A636" s="28"/>
      <c r="H636" s="34"/>
    </row>
    <row r="637">
      <c r="A637" s="28"/>
      <c r="H637" s="34"/>
    </row>
    <row r="638">
      <c r="A638" s="28"/>
      <c r="H638" s="34"/>
    </row>
    <row r="639">
      <c r="A639" s="28"/>
      <c r="H639" s="34"/>
    </row>
    <row r="640">
      <c r="A640" s="28"/>
      <c r="H640" s="34"/>
    </row>
    <row r="641">
      <c r="A641" s="28"/>
      <c r="H641" s="34"/>
    </row>
    <row r="642">
      <c r="A642" s="28"/>
      <c r="H642" s="34"/>
    </row>
    <row r="643">
      <c r="A643" s="28"/>
      <c r="H643" s="34"/>
    </row>
    <row r="644">
      <c r="A644" s="28"/>
      <c r="H644" s="34"/>
    </row>
    <row r="645">
      <c r="A645" s="28"/>
      <c r="H645" s="34"/>
    </row>
    <row r="646">
      <c r="A646" s="28"/>
      <c r="H646" s="34"/>
    </row>
    <row r="647">
      <c r="A647" s="28"/>
      <c r="H647" s="34"/>
    </row>
    <row r="648">
      <c r="A648" s="28"/>
      <c r="H648" s="34"/>
    </row>
    <row r="649">
      <c r="A649" s="28"/>
      <c r="H649" s="34"/>
    </row>
    <row r="650">
      <c r="A650" s="28"/>
      <c r="H650" s="34"/>
    </row>
    <row r="651">
      <c r="A651" s="28"/>
      <c r="H651" s="34"/>
    </row>
    <row r="652">
      <c r="A652" s="28"/>
      <c r="H652" s="34"/>
    </row>
    <row r="653">
      <c r="A653" s="28"/>
      <c r="H653" s="34"/>
    </row>
    <row r="654">
      <c r="A654" s="28"/>
      <c r="H654" s="34"/>
    </row>
    <row r="655">
      <c r="A655" s="28"/>
      <c r="H655" s="34"/>
    </row>
    <row r="656">
      <c r="A656" s="28"/>
      <c r="H656" s="34"/>
    </row>
    <row r="657">
      <c r="A657" s="28"/>
      <c r="H657" s="34"/>
    </row>
    <row r="658">
      <c r="A658" s="28"/>
      <c r="H658" s="34"/>
    </row>
    <row r="659">
      <c r="A659" s="28"/>
      <c r="H659" s="34"/>
    </row>
    <row r="660">
      <c r="A660" s="28"/>
      <c r="H660" s="34"/>
    </row>
    <row r="661">
      <c r="A661" s="28"/>
      <c r="H661" s="34"/>
    </row>
    <row r="662">
      <c r="A662" s="28"/>
      <c r="H662" s="34"/>
    </row>
    <row r="663">
      <c r="A663" s="28"/>
      <c r="H663" s="34"/>
    </row>
    <row r="664">
      <c r="A664" s="28"/>
      <c r="H664" s="34"/>
    </row>
    <row r="665">
      <c r="A665" s="28"/>
      <c r="H665" s="34"/>
    </row>
    <row r="666">
      <c r="A666" s="28"/>
      <c r="H666" s="34"/>
    </row>
    <row r="667">
      <c r="A667" s="28"/>
      <c r="H667" s="34"/>
    </row>
    <row r="668">
      <c r="A668" s="28"/>
      <c r="H668" s="34"/>
    </row>
    <row r="669">
      <c r="A669" s="28"/>
      <c r="H669" s="34"/>
    </row>
    <row r="670">
      <c r="A670" s="28"/>
      <c r="H670" s="34"/>
    </row>
    <row r="671">
      <c r="A671" s="28"/>
      <c r="H671" s="34"/>
    </row>
    <row r="672">
      <c r="A672" s="28"/>
      <c r="H672" s="34"/>
    </row>
    <row r="673">
      <c r="A673" s="28"/>
      <c r="H673" s="34"/>
    </row>
    <row r="674">
      <c r="A674" s="28"/>
      <c r="H674" s="34"/>
    </row>
    <row r="675">
      <c r="A675" s="28"/>
      <c r="H675" s="34"/>
    </row>
    <row r="676">
      <c r="A676" s="28"/>
      <c r="H676" s="34"/>
    </row>
    <row r="677">
      <c r="A677" s="28"/>
      <c r="H677" s="34"/>
    </row>
    <row r="678">
      <c r="A678" s="28"/>
      <c r="H678" s="34"/>
    </row>
    <row r="679">
      <c r="A679" s="28"/>
      <c r="H679" s="34"/>
    </row>
    <row r="680">
      <c r="A680" s="28"/>
      <c r="H680" s="34"/>
    </row>
    <row r="681">
      <c r="A681" s="28"/>
      <c r="H681" s="34"/>
    </row>
    <row r="682">
      <c r="A682" s="28"/>
      <c r="H682" s="34"/>
    </row>
    <row r="683">
      <c r="A683" s="28"/>
      <c r="H683" s="34"/>
    </row>
    <row r="684">
      <c r="A684" s="28"/>
      <c r="H684" s="34"/>
    </row>
    <row r="685">
      <c r="A685" s="28"/>
      <c r="H685" s="34"/>
    </row>
    <row r="686">
      <c r="A686" s="28"/>
      <c r="H686" s="34"/>
    </row>
    <row r="687">
      <c r="A687" s="28"/>
      <c r="H687" s="34"/>
    </row>
    <row r="688">
      <c r="A688" s="28"/>
      <c r="H688" s="34"/>
    </row>
    <row r="689">
      <c r="A689" s="28"/>
      <c r="H689" s="34"/>
    </row>
    <row r="690">
      <c r="A690" s="28"/>
      <c r="H690" s="34"/>
    </row>
    <row r="691">
      <c r="A691" s="28"/>
      <c r="H691" s="34"/>
    </row>
    <row r="692">
      <c r="A692" s="28"/>
      <c r="H692" s="34"/>
    </row>
    <row r="693">
      <c r="A693" s="28"/>
      <c r="H693" s="34"/>
    </row>
    <row r="694">
      <c r="A694" s="28"/>
      <c r="H694" s="34"/>
    </row>
    <row r="695">
      <c r="A695" s="28"/>
      <c r="H695" s="34"/>
    </row>
    <row r="696">
      <c r="A696" s="28"/>
      <c r="H696" s="34"/>
    </row>
    <row r="697">
      <c r="A697" s="28"/>
      <c r="H697" s="34"/>
    </row>
    <row r="698">
      <c r="A698" s="28"/>
      <c r="H698" s="34"/>
    </row>
    <row r="699">
      <c r="A699" s="28"/>
      <c r="H699" s="34"/>
    </row>
    <row r="700">
      <c r="A700" s="28"/>
      <c r="H700" s="34"/>
    </row>
    <row r="701">
      <c r="A701" s="28"/>
      <c r="H701" s="34"/>
    </row>
    <row r="702">
      <c r="A702" s="28"/>
      <c r="H702" s="34"/>
    </row>
    <row r="703">
      <c r="A703" s="28"/>
      <c r="H703" s="34"/>
    </row>
    <row r="704">
      <c r="A704" s="28"/>
      <c r="H704" s="34"/>
    </row>
    <row r="705">
      <c r="A705" s="28"/>
      <c r="H705" s="34"/>
    </row>
    <row r="706">
      <c r="A706" s="28"/>
      <c r="H706" s="34"/>
    </row>
    <row r="707">
      <c r="A707" s="28"/>
      <c r="H707" s="34"/>
    </row>
    <row r="708">
      <c r="A708" s="28"/>
      <c r="H708" s="34"/>
    </row>
    <row r="709">
      <c r="A709" s="28"/>
      <c r="H709" s="34"/>
    </row>
    <row r="710">
      <c r="A710" s="28"/>
      <c r="H710" s="34"/>
    </row>
    <row r="711">
      <c r="A711" s="28"/>
      <c r="H711" s="34"/>
    </row>
    <row r="712">
      <c r="A712" s="28"/>
      <c r="H712" s="34"/>
    </row>
    <row r="713">
      <c r="A713" s="28"/>
      <c r="H713" s="34"/>
    </row>
    <row r="714">
      <c r="A714" s="28"/>
      <c r="H714" s="34"/>
    </row>
    <row r="715">
      <c r="A715" s="28"/>
      <c r="H715" s="34"/>
    </row>
    <row r="716">
      <c r="A716" s="28"/>
      <c r="H716" s="34"/>
    </row>
    <row r="717">
      <c r="A717" s="28"/>
      <c r="H717" s="34"/>
    </row>
    <row r="718">
      <c r="A718" s="28"/>
      <c r="H718" s="34"/>
    </row>
    <row r="719">
      <c r="A719" s="28"/>
      <c r="H719" s="34"/>
    </row>
    <row r="720">
      <c r="A720" s="28"/>
      <c r="H720" s="34"/>
    </row>
    <row r="721">
      <c r="A721" s="28"/>
      <c r="H721" s="34"/>
    </row>
    <row r="722">
      <c r="A722" s="28"/>
      <c r="H722" s="34"/>
    </row>
    <row r="723">
      <c r="A723" s="28"/>
      <c r="H723" s="34"/>
    </row>
    <row r="724">
      <c r="A724" s="28"/>
      <c r="H724" s="34"/>
    </row>
    <row r="725">
      <c r="A725" s="28"/>
      <c r="H725" s="34"/>
    </row>
    <row r="726">
      <c r="A726" s="28"/>
      <c r="H726" s="34"/>
    </row>
    <row r="727">
      <c r="A727" s="28"/>
      <c r="H727" s="34"/>
    </row>
    <row r="728">
      <c r="A728" s="28"/>
      <c r="H728" s="34"/>
    </row>
    <row r="729">
      <c r="A729" s="28"/>
      <c r="H729" s="34"/>
    </row>
    <row r="730">
      <c r="A730" s="28"/>
      <c r="H730" s="34"/>
    </row>
    <row r="731">
      <c r="A731" s="28"/>
      <c r="H731" s="34"/>
    </row>
    <row r="732">
      <c r="A732" s="28"/>
      <c r="H732" s="34"/>
    </row>
    <row r="733">
      <c r="A733" s="28"/>
      <c r="H733" s="34"/>
    </row>
    <row r="734">
      <c r="A734" s="28"/>
      <c r="H734" s="34"/>
    </row>
    <row r="735">
      <c r="A735" s="28"/>
      <c r="H735" s="34"/>
    </row>
    <row r="736">
      <c r="A736" s="28"/>
      <c r="H736" s="34"/>
    </row>
    <row r="737">
      <c r="A737" s="28"/>
      <c r="H737" s="34"/>
    </row>
    <row r="738">
      <c r="A738" s="28"/>
      <c r="H738" s="34"/>
    </row>
    <row r="739">
      <c r="A739" s="28"/>
      <c r="H739" s="34"/>
    </row>
    <row r="740">
      <c r="A740" s="28"/>
      <c r="H740" s="34"/>
    </row>
    <row r="741">
      <c r="A741" s="28"/>
      <c r="H741" s="34"/>
    </row>
    <row r="742">
      <c r="A742" s="28"/>
      <c r="H742" s="34"/>
    </row>
    <row r="743">
      <c r="A743" s="28"/>
      <c r="H743" s="34"/>
    </row>
    <row r="744">
      <c r="A744" s="28"/>
      <c r="H744" s="34"/>
    </row>
    <row r="745">
      <c r="A745" s="28"/>
      <c r="H745" s="34"/>
    </row>
    <row r="746">
      <c r="A746" s="28"/>
      <c r="H746" s="34"/>
    </row>
    <row r="747">
      <c r="A747" s="28"/>
      <c r="H747" s="34"/>
    </row>
    <row r="748">
      <c r="A748" s="28"/>
      <c r="H748" s="34"/>
    </row>
    <row r="749">
      <c r="A749" s="28"/>
      <c r="H749" s="34"/>
    </row>
    <row r="750">
      <c r="A750" s="28"/>
      <c r="H750" s="34"/>
    </row>
    <row r="751">
      <c r="A751" s="28"/>
      <c r="H751" s="34"/>
    </row>
    <row r="752">
      <c r="A752" s="28"/>
      <c r="H752" s="34"/>
    </row>
    <row r="753">
      <c r="A753" s="28"/>
      <c r="H753" s="34"/>
    </row>
    <row r="754">
      <c r="A754" s="28"/>
      <c r="H754" s="34"/>
    </row>
    <row r="755">
      <c r="A755" s="28"/>
      <c r="H755" s="34"/>
    </row>
    <row r="756">
      <c r="A756" s="28"/>
      <c r="H756" s="34"/>
    </row>
    <row r="757">
      <c r="A757" s="28"/>
      <c r="H757" s="34"/>
    </row>
    <row r="758">
      <c r="A758" s="28"/>
      <c r="H758" s="34"/>
    </row>
    <row r="759">
      <c r="A759" s="28"/>
      <c r="H759" s="34"/>
    </row>
    <row r="760">
      <c r="A760" s="28"/>
      <c r="H760" s="34"/>
    </row>
    <row r="761">
      <c r="A761" s="28"/>
      <c r="H761" s="34"/>
    </row>
    <row r="762">
      <c r="A762" s="28"/>
      <c r="H762" s="34"/>
    </row>
    <row r="763">
      <c r="A763" s="28"/>
      <c r="H763" s="34"/>
    </row>
    <row r="764">
      <c r="A764" s="28"/>
      <c r="H764" s="34"/>
    </row>
    <row r="765">
      <c r="A765" s="28"/>
      <c r="H765" s="34"/>
    </row>
    <row r="766">
      <c r="A766" s="28"/>
      <c r="H766" s="34"/>
    </row>
    <row r="767">
      <c r="A767" s="28"/>
      <c r="H767" s="34"/>
    </row>
    <row r="768">
      <c r="A768" s="28"/>
      <c r="H768" s="34"/>
    </row>
    <row r="769">
      <c r="A769" s="28"/>
      <c r="H769" s="34"/>
    </row>
    <row r="770">
      <c r="A770" s="28"/>
      <c r="H770" s="34"/>
    </row>
    <row r="771">
      <c r="A771" s="28"/>
      <c r="H771" s="34"/>
    </row>
    <row r="772">
      <c r="A772" s="28"/>
      <c r="H772" s="34"/>
    </row>
    <row r="773">
      <c r="A773" s="28"/>
      <c r="H773" s="34"/>
    </row>
    <row r="774">
      <c r="A774" s="28"/>
      <c r="H774" s="34"/>
    </row>
    <row r="775">
      <c r="A775" s="28"/>
      <c r="H775" s="34"/>
    </row>
    <row r="776">
      <c r="A776" s="28"/>
      <c r="H776" s="34"/>
    </row>
    <row r="777">
      <c r="A777" s="28"/>
      <c r="H777" s="34"/>
    </row>
    <row r="778">
      <c r="A778" s="28"/>
      <c r="H778" s="34"/>
    </row>
    <row r="779">
      <c r="A779" s="28"/>
      <c r="H779" s="34"/>
    </row>
    <row r="780">
      <c r="A780" s="28"/>
      <c r="H780" s="34"/>
    </row>
    <row r="781">
      <c r="A781" s="28"/>
      <c r="H781" s="34"/>
    </row>
    <row r="782">
      <c r="A782" s="28"/>
      <c r="H782" s="34"/>
    </row>
    <row r="783">
      <c r="A783" s="28"/>
      <c r="H783" s="34"/>
    </row>
    <row r="784">
      <c r="A784" s="28"/>
      <c r="H784" s="34"/>
    </row>
    <row r="785">
      <c r="A785" s="28"/>
      <c r="H785" s="34"/>
    </row>
    <row r="786">
      <c r="A786" s="28"/>
      <c r="H786" s="34"/>
    </row>
    <row r="787">
      <c r="A787" s="28"/>
      <c r="H787" s="34"/>
    </row>
    <row r="788">
      <c r="A788" s="28"/>
      <c r="H788" s="34"/>
    </row>
    <row r="789">
      <c r="A789" s="28"/>
      <c r="H789" s="34"/>
    </row>
    <row r="790">
      <c r="A790" s="28"/>
      <c r="H790" s="34"/>
    </row>
    <row r="791">
      <c r="A791" s="28"/>
      <c r="H791" s="34"/>
    </row>
    <row r="792">
      <c r="A792" s="28"/>
      <c r="H792" s="34"/>
    </row>
    <row r="793">
      <c r="A793" s="28"/>
      <c r="H793" s="34"/>
    </row>
    <row r="794">
      <c r="A794" s="28"/>
      <c r="H794" s="34"/>
    </row>
    <row r="795">
      <c r="A795" s="28"/>
      <c r="H795" s="34"/>
    </row>
    <row r="796">
      <c r="A796" s="28"/>
      <c r="H796" s="34"/>
    </row>
    <row r="797">
      <c r="A797" s="28"/>
      <c r="H797" s="34"/>
    </row>
    <row r="798">
      <c r="A798" s="28"/>
      <c r="H798" s="34"/>
    </row>
    <row r="799">
      <c r="A799" s="28"/>
      <c r="H799" s="34"/>
    </row>
    <row r="800">
      <c r="A800" s="28"/>
      <c r="H800" s="34"/>
    </row>
    <row r="801">
      <c r="A801" s="28"/>
      <c r="H801" s="34"/>
    </row>
    <row r="802">
      <c r="A802" s="28"/>
      <c r="H802" s="34"/>
    </row>
    <row r="803">
      <c r="A803" s="28"/>
      <c r="H803" s="34"/>
    </row>
    <row r="804">
      <c r="A804" s="28"/>
      <c r="H804" s="34"/>
    </row>
    <row r="805">
      <c r="A805" s="28"/>
      <c r="H805" s="34"/>
    </row>
    <row r="806">
      <c r="A806" s="28"/>
      <c r="H806" s="34"/>
    </row>
    <row r="807">
      <c r="A807" s="28"/>
      <c r="H807" s="34"/>
    </row>
    <row r="808">
      <c r="A808" s="28"/>
      <c r="H808" s="34"/>
    </row>
    <row r="809">
      <c r="A809" s="28"/>
      <c r="H809" s="34"/>
    </row>
    <row r="810">
      <c r="A810" s="28"/>
      <c r="H810" s="34"/>
    </row>
    <row r="811">
      <c r="A811" s="28"/>
      <c r="H811" s="34"/>
    </row>
    <row r="812">
      <c r="A812" s="28"/>
      <c r="H812" s="34"/>
    </row>
    <row r="813">
      <c r="A813" s="28"/>
      <c r="H813" s="34"/>
    </row>
    <row r="814">
      <c r="A814" s="28"/>
      <c r="H814" s="34"/>
    </row>
    <row r="815">
      <c r="A815" s="28"/>
      <c r="H815" s="34"/>
    </row>
    <row r="816">
      <c r="A816" s="28"/>
      <c r="H816" s="34"/>
    </row>
    <row r="817">
      <c r="A817" s="28"/>
      <c r="H817" s="34"/>
    </row>
    <row r="818">
      <c r="A818" s="28"/>
      <c r="H818" s="34"/>
    </row>
    <row r="819">
      <c r="A819" s="28"/>
      <c r="H819" s="34"/>
    </row>
    <row r="820">
      <c r="A820" s="28"/>
      <c r="H820" s="34"/>
    </row>
    <row r="821">
      <c r="A821" s="28"/>
      <c r="H821" s="34"/>
    </row>
    <row r="822">
      <c r="A822" s="28"/>
      <c r="H822" s="34"/>
    </row>
    <row r="823">
      <c r="A823" s="28"/>
      <c r="H823" s="34"/>
    </row>
    <row r="824">
      <c r="A824" s="28"/>
      <c r="H824" s="34"/>
    </row>
    <row r="825">
      <c r="A825" s="28"/>
      <c r="H825" s="34"/>
    </row>
    <row r="826">
      <c r="A826" s="28"/>
      <c r="H826" s="34"/>
    </row>
    <row r="827">
      <c r="A827" s="28"/>
      <c r="H827" s="34"/>
    </row>
    <row r="828">
      <c r="A828" s="28"/>
      <c r="H828" s="34"/>
    </row>
    <row r="829">
      <c r="A829" s="28"/>
      <c r="H829" s="34"/>
    </row>
    <row r="830">
      <c r="A830" s="28"/>
      <c r="H830" s="34"/>
    </row>
    <row r="831">
      <c r="A831" s="28"/>
      <c r="H831" s="34"/>
    </row>
    <row r="832">
      <c r="A832" s="28"/>
      <c r="H832" s="34"/>
    </row>
    <row r="833">
      <c r="A833" s="28"/>
      <c r="H833" s="34"/>
    </row>
    <row r="834">
      <c r="A834" s="28"/>
      <c r="H834" s="34"/>
    </row>
    <row r="835">
      <c r="A835" s="28"/>
      <c r="H835" s="34"/>
    </row>
    <row r="836">
      <c r="A836" s="28"/>
      <c r="H836" s="34"/>
    </row>
    <row r="837">
      <c r="A837" s="28"/>
      <c r="H837" s="34"/>
    </row>
    <row r="838">
      <c r="A838" s="28"/>
      <c r="H838" s="34"/>
    </row>
    <row r="839">
      <c r="A839" s="28"/>
      <c r="H839" s="34"/>
    </row>
    <row r="840">
      <c r="A840" s="28"/>
      <c r="H840" s="34"/>
    </row>
    <row r="841">
      <c r="A841" s="28"/>
      <c r="H841" s="34"/>
    </row>
    <row r="842">
      <c r="A842" s="28"/>
      <c r="H842" s="34"/>
    </row>
    <row r="843">
      <c r="A843" s="28"/>
      <c r="H843" s="34"/>
    </row>
    <row r="844">
      <c r="A844" s="28"/>
      <c r="H844" s="34"/>
    </row>
    <row r="845">
      <c r="A845" s="28"/>
      <c r="H845" s="34"/>
    </row>
    <row r="846">
      <c r="A846" s="28"/>
      <c r="H846" s="34"/>
    </row>
    <row r="847">
      <c r="A847" s="28"/>
      <c r="H847" s="34"/>
    </row>
    <row r="848">
      <c r="A848" s="28"/>
      <c r="H848" s="34"/>
    </row>
    <row r="849">
      <c r="A849" s="28"/>
      <c r="H849" s="34"/>
    </row>
    <row r="850">
      <c r="A850" s="28"/>
      <c r="H850" s="34"/>
    </row>
    <row r="851">
      <c r="A851" s="28"/>
      <c r="H851" s="34"/>
    </row>
    <row r="852">
      <c r="A852" s="28"/>
      <c r="H852" s="34"/>
    </row>
    <row r="853">
      <c r="A853" s="28"/>
      <c r="H853" s="34"/>
    </row>
    <row r="854">
      <c r="A854" s="28"/>
      <c r="H854" s="34"/>
    </row>
    <row r="855">
      <c r="A855" s="28"/>
      <c r="H855" s="34"/>
    </row>
    <row r="856">
      <c r="A856" s="28"/>
      <c r="H856" s="34"/>
    </row>
    <row r="857">
      <c r="A857" s="28"/>
      <c r="H857" s="34"/>
    </row>
    <row r="858">
      <c r="A858" s="28"/>
      <c r="H858" s="34"/>
    </row>
    <row r="859">
      <c r="A859" s="28"/>
      <c r="H859" s="34"/>
    </row>
    <row r="860">
      <c r="A860" s="28"/>
      <c r="H860" s="34"/>
    </row>
    <row r="861">
      <c r="A861" s="28"/>
      <c r="H861" s="34"/>
    </row>
    <row r="862">
      <c r="A862" s="28"/>
      <c r="H862" s="34"/>
    </row>
    <row r="863">
      <c r="A863" s="28"/>
      <c r="H863" s="34"/>
    </row>
    <row r="864">
      <c r="A864" s="28"/>
      <c r="H864" s="34"/>
    </row>
    <row r="865">
      <c r="A865" s="28"/>
      <c r="H865" s="34"/>
    </row>
    <row r="866">
      <c r="A866" s="28"/>
      <c r="H866" s="34"/>
    </row>
    <row r="867">
      <c r="A867" s="28"/>
      <c r="H867" s="34"/>
    </row>
    <row r="868">
      <c r="A868" s="28"/>
      <c r="H868" s="34"/>
    </row>
    <row r="869">
      <c r="A869" s="28"/>
      <c r="H869" s="34"/>
    </row>
    <row r="870">
      <c r="A870" s="28"/>
      <c r="H870" s="34"/>
    </row>
    <row r="871">
      <c r="A871" s="28"/>
      <c r="H871" s="34"/>
    </row>
    <row r="872">
      <c r="A872" s="28"/>
      <c r="H872" s="34"/>
    </row>
    <row r="873">
      <c r="A873" s="28"/>
      <c r="H873" s="34"/>
    </row>
    <row r="874">
      <c r="A874" s="28"/>
      <c r="H874" s="34"/>
    </row>
    <row r="875">
      <c r="A875" s="28"/>
      <c r="H875" s="34"/>
    </row>
    <row r="876">
      <c r="A876" s="28"/>
      <c r="H876" s="34"/>
    </row>
    <row r="877">
      <c r="A877" s="28"/>
      <c r="H877" s="34"/>
    </row>
    <row r="878">
      <c r="A878" s="28"/>
      <c r="H878" s="34"/>
    </row>
    <row r="879">
      <c r="A879" s="28"/>
      <c r="H879" s="34"/>
    </row>
    <row r="880">
      <c r="A880" s="28"/>
      <c r="H880" s="34"/>
    </row>
    <row r="881">
      <c r="A881" s="28"/>
      <c r="H881" s="34"/>
    </row>
    <row r="882">
      <c r="A882" s="28"/>
      <c r="H882" s="34"/>
    </row>
    <row r="883">
      <c r="A883" s="28"/>
      <c r="H883" s="34"/>
    </row>
    <row r="884">
      <c r="A884" s="28"/>
      <c r="H884" s="34"/>
    </row>
    <row r="885">
      <c r="A885" s="28"/>
      <c r="H885" s="34"/>
    </row>
    <row r="886">
      <c r="A886" s="28"/>
      <c r="H886" s="34"/>
    </row>
    <row r="887">
      <c r="A887" s="28"/>
      <c r="H887" s="34"/>
    </row>
    <row r="888">
      <c r="A888" s="28"/>
      <c r="H888" s="34"/>
    </row>
    <row r="889">
      <c r="A889" s="28"/>
      <c r="H889" s="34"/>
    </row>
    <row r="890">
      <c r="A890" s="28"/>
      <c r="H890" s="34"/>
    </row>
    <row r="891">
      <c r="A891" s="28"/>
      <c r="H891" s="34"/>
    </row>
    <row r="892">
      <c r="A892" s="28"/>
      <c r="H892" s="34"/>
    </row>
    <row r="893">
      <c r="A893" s="28"/>
      <c r="H893" s="34"/>
    </row>
    <row r="894">
      <c r="A894" s="28"/>
      <c r="H894" s="34"/>
    </row>
    <row r="895">
      <c r="A895" s="28"/>
      <c r="H895" s="34"/>
    </row>
    <row r="896">
      <c r="A896" s="28"/>
      <c r="H896" s="34"/>
    </row>
    <row r="897">
      <c r="A897" s="28"/>
      <c r="H897" s="34"/>
    </row>
    <row r="898">
      <c r="A898" s="28"/>
      <c r="H898" s="34"/>
    </row>
    <row r="899">
      <c r="A899" s="28"/>
      <c r="H899" s="34"/>
    </row>
    <row r="900">
      <c r="A900" s="28"/>
      <c r="H900" s="34"/>
    </row>
    <row r="901">
      <c r="A901" s="28"/>
      <c r="H901" s="34"/>
    </row>
    <row r="902">
      <c r="A902" s="28"/>
      <c r="H902" s="34"/>
    </row>
    <row r="903">
      <c r="A903" s="28"/>
      <c r="H903" s="34"/>
    </row>
    <row r="904">
      <c r="A904" s="28"/>
      <c r="H904" s="34"/>
    </row>
    <row r="905">
      <c r="A905" s="28"/>
      <c r="H905" s="34"/>
    </row>
    <row r="906">
      <c r="A906" s="28"/>
      <c r="H906" s="34"/>
    </row>
    <row r="907">
      <c r="A907" s="28"/>
      <c r="H907" s="34"/>
    </row>
    <row r="908">
      <c r="A908" s="28"/>
      <c r="H908" s="34"/>
    </row>
    <row r="909">
      <c r="A909" s="28"/>
      <c r="H909" s="34"/>
    </row>
    <row r="910">
      <c r="A910" s="28"/>
      <c r="H910" s="34"/>
    </row>
    <row r="911">
      <c r="A911" s="28"/>
      <c r="H911" s="34"/>
    </row>
    <row r="912">
      <c r="A912" s="28"/>
      <c r="H912" s="34"/>
    </row>
    <row r="913">
      <c r="A913" s="28"/>
      <c r="H913" s="34"/>
    </row>
    <row r="914">
      <c r="A914" s="28"/>
      <c r="H914" s="34"/>
    </row>
    <row r="915">
      <c r="A915" s="28"/>
      <c r="H915" s="34"/>
    </row>
    <row r="916">
      <c r="A916" s="28"/>
      <c r="H916" s="34"/>
    </row>
    <row r="917">
      <c r="A917" s="28"/>
      <c r="H917" s="34"/>
    </row>
    <row r="918">
      <c r="A918" s="28"/>
      <c r="H918" s="34"/>
    </row>
    <row r="919">
      <c r="A919" s="28"/>
      <c r="H919" s="34"/>
    </row>
    <row r="920">
      <c r="A920" s="28"/>
      <c r="H920" s="34"/>
    </row>
    <row r="921">
      <c r="A921" s="28"/>
      <c r="H921" s="34"/>
    </row>
    <row r="922">
      <c r="A922" s="28"/>
      <c r="H922" s="34"/>
    </row>
    <row r="923">
      <c r="A923" s="28"/>
      <c r="H923" s="34"/>
    </row>
    <row r="924">
      <c r="A924" s="28"/>
      <c r="H924" s="34"/>
    </row>
    <row r="925">
      <c r="A925" s="28"/>
      <c r="H925" s="34"/>
    </row>
    <row r="926">
      <c r="A926" s="28"/>
      <c r="H926" s="34"/>
    </row>
    <row r="927">
      <c r="A927" s="28"/>
      <c r="H927" s="34"/>
    </row>
    <row r="928">
      <c r="A928" s="28"/>
      <c r="H928" s="34"/>
    </row>
    <row r="929">
      <c r="A929" s="28"/>
      <c r="H929" s="34"/>
    </row>
    <row r="930">
      <c r="A930" s="28"/>
      <c r="H930" s="34"/>
    </row>
    <row r="931">
      <c r="A931" s="28"/>
      <c r="H931" s="34"/>
    </row>
    <row r="932">
      <c r="A932" s="28"/>
      <c r="H932" s="34"/>
    </row>
    <row r="933">
      <c r="A933" s="28"/>
      <c r="H933" s="34"/>
    </row>
    <row r="934">
      <c r="A934" s="28"/>
      <c r="H934" s="34"/>
    </row>
    <row r="935">
      <c r="A935" s="28"/>
      <c r="H935" s="34"/>
    </row>
    <row r="936">
      <c r="A936" s="28"/>
      <c r="H936" s="34"/>
    </row>
    <row r="937">
      <c r="A937" s="28"/>
      <c r="H937" s="34"/>
    </row>
    <row r="938">
      <c r="A938" s="28"/>
      <c r="H938" s="34"/>
    </row>
    <row r="939">
      <c r="A939" s="28"/>
      <c r="H939" s="34"/>
    </row>
    <row r="940">
      <c r="A940" s="28"/>
      <c r="H940" s="34"/>
    </row>
    <row r="941">
      <c r="A941" s="28"/>
      <c r="H941" s="34"/>
    </row>
    <row r="942">
      <c r="A942" s="28"/>
      <c r="H942" s="34"/>
    </row>
    <row r="943">
      <c r="A943" s="28"/>
      <c r="H943" s="34"/>
    </row>
    <row r="944">
      <c r="A944" s="28"/>
      <c r="H944" s="34"/>
    </row>
    <row r="945">
      <c r="A945" s="28"/>
      <c r="H945" s="34"/>
    </row>
    <row r="946">
      <c r="A946" s="28"/>
      <c r="H946" s="34"/>
    </row>
    <row r="947">
      <c r="A947" s="28"/>
      <c r="H947" s="34"/>
    </row>
    <row r="948">
      <c r="A948" s="28"/>
      <c r="H948" s="34"/>
    </row>
    <row r="949">
      <c r="A949" s="28"/>
      <c r="H949" s="34"/>
    </row>
    <row r="950">
      <c r="A950" s="28"/>
      <c r="H950" s="34"/>
    </row>
    <row r="951">
      <c r="A951" s="28"/>
      <c r="H951" s="34"/>
    </row>
    <row r="952">
      <c r="A952" s="28"/>
      <c r="H952" s="34"/>
    </row>
    <row r="953">
      <c r="A953" s="28"/>
      <c r="H953" s="34"/>
    </row>
    <row r="954">
      <c r="A954" s="28"/>
      <c r="H954" s="34"/>
    </row>
    <row r="955">
      <c r="A955" s="28"/>
      <c r="H955" s="34"/>
    </row>
    <row r="956">
      <c r="A956" s="28"/>
      <c r="H956" s="34"/>
    </row>
    <row r="957">
      <c r="A957" s="28"/>
      <c r="H957" s="34"/>
    </row>
    <row r="958">
      <c r="A958" s="28"/>
      <c r="H958" s="34"/>
    </row>
    <row r="959">
      <c r="A959" s="28"/>
      <c r="H959" s="34"/>
    </row>
    <row r="960">
      <c r="A960" s="28"/>
      <c r="H960" s="34"/>
    </row>
    <row r="961">
      <c r="A961" s="28"/>
      <c r="H961" s="34"/>
    </row>
    <row r="962">
      <c r="A962" s="28"/>
      <c r="H962" s="34"/>
    </row>
    <row r="963">
      <c r="A963" s="28"/>
      <c r="H963" s="34"/>
    </row>
    <row r="964">
      <c r="A964" s="28"/>
      <c r="H964" s="34"/>
    </row>
    <row r="965">
      <c r="A965" s="28"/>
      <c r="H965" s="34"/>
    </row>
    <row r="966">
      <c r="A966" s="28"/>
      <c r="H966" s="34"/>
    </row>
    <row r="967">
      <c r="A967" s="28"/>
      <c r="H967" s="34"/>
    </row>
    <row r="968">
      <c r="A968" s="28"/>
      <c r="H968" s="34"/>
    </row>
    <row r="969">
      <c r="A969" s="28"/>
      <c r="H969" s="34"/>
    </row>
    <row r="970">
      <c r="A970" s="28"/>
      <c r="H970" s="34"/>
    </row>
    <row r="971">
      <c r="A971" s="28"/>
      <c r="H971" s="34"/>
    </row>
    <row r="972">
      <c r="A972" s="28"/>
      <c r="H972" s="34"/>
    </row>
    <row r="973">
      <c r="A973" s="28"/>
      <c r="H973" s="34"/>
    </row>
    <row r="974">
      <c r="A974" s="28"/>
      <c r="H974" s="34"/>
    </row>
    <row r="975">
      <c r="A975" s="28"/>
      <c r="H975" s="34"/>
    </row>
    <row r="976">
      <c r="A976" s="28"/>
      <c r="H976" s="34"/>
    </row>
    <row r="977">
      <c r="A977" s="28"/>
      <c r="H977" s="34"/>
    </row>
    <row r="978">
      <c r="A978" s="28"/>
      <c r="H978" s="34"/>
    </row>
    <row r="979">
      <c r="A979" s="28"/>
      <c r="H979" s="34"/>
    </row>
    <row r="980">
      <c r="A980" s="28"/>
      <c r="H980" s="34"/>
    </row>
    <row r="981">
      <c r="A981" s="28"/>
      <c r="H981" s="34"/>
    </row>
    <row r="982">
      <c r="A982" s="28"/>
      <c r="H982" s="34"/>
    </row>
    <row r="983">
      <c r="A983" s="28"/>
      <c r="H983" s="34"/>
    </row>
    <row r="984">
      <c r="A984" s="28"/>
      <c r="H984" s="34"/>
    </row>
    <row r="985">
      <c r="A985" s="28"/>
      <c r="H985" s="34"/>
    </row>
    <row r="986">
      <c r="A986" s="28"/>
      <c r="H986" s="34"/>
    </row>
    <row r="987">
      <c r="A987" s="28"/>
      <c r="H987" s="34"/>
    </row>
    <row r="988">
      <c r="A988" s="28"/>
      <c r="H988" s="34"/>
    </row>
    <row r="989">
      <c r="A989" s="28"/>
      <c r="H989" s="34"/>
    </row>
    <row r="990">
      <c r="A990" s="28"/>
      <c r="H990" s="34"/>
    </row>
    <row r="991">
      <c r="A991" s="28"/>
      <c r="H991" s="34"/>
    </row>
    <row r="992">
      <c r="A992" s="28"/>
      <c r="H992" s="34"/>
    </row>
    <row r="993">
      <c r="A993" s="28"/>
      <c r="H993" s="34"/>
    </row>
    <row r="994">
      <c r="A994" s="28"/>
      <c r="H994" s="34"/>
    </row>
    <row r="995">
      <c r="A995" s="28"/>
      <c r="H995" s="34"/>
    </row>
    <row r="996">
      <c r="A996" s="28"/>
      <c r="H996" s="34"/>
    </row>
    <row r="997">
      <c r="A997" s="28"/>
      <c r="H997" s="34"/>
    </row>
    <row r="998">
      <c r="H998" s="3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5.25"/>
    <col customWidth="1" min="2" max="2" width="16.0"/>
    <col customWidth="1" min="3" max="3" width="4.63"/>
    <col customWidth="1" min="4" max="4" width="8.88"/>
    <col customWidth="1" min="5" max="5" width="16.5"/>
    <col customWidth="1" min="6" max="6" width="10.75"/>
    <col customWidth="1" min="7" max="9" width="8.88"/>
    <col customWidth="1" min="10" max="10" width="5.25"/>
    <col customWidth="1" min="11" max="11" width="8.88"/>
    <col customWidth="1" min="13" max="13" width="8.13"/>
    <col customWidth="1" min="14" max="14" width="2.63"/>
  </cols>
  <sheetData>
    <row r="1" ht="10.5" customHeight="1">
      <c r="A1" s="35"/>
      <c r="B1" s="35"/>
    </row>
    <row r="2" ht="10.5" customHeight="1">
      <c r="A2" s="35"/>
      <c r="B2" s="35"/>
      <c r="F2" s="36" t="str">
        <f>IFERROR(VLOOKUP($B$6,'Form responses 1'!$B$1:$N$118,13,FALSE),"")</f>
        <v/>
      </c>
    </row>
    <row r="3" ht="10.5" customHeight="1">
      <c r="A3" s="35"/>
      <c r="B3" s="35"/>
      <c r="E3" s="36" t="str">
        <f>IFERROR(VLOOKUP($I$17,'Player Info'!$B:$J,9,0),"")</f>
        <v/>
      </c>
    </row>
    <row r="4" ht="3.75" customHeight="1">
      <c r="A4" s="35"/>
      <c r="B4" s="35"/>
    </row>
    <row r="5" ht="17.25" customHeight="1">
      <c r="A5" s="35" t="s">
        <v>1</v>
      </c>
      <c r="B5" s="35" t="s">
        <v>203</v>
      </c>
    </row>
    <row r="6" ht="17.25" customHeight="1">
      <c r="A6" s="37" t="s">
        <v>18</v>
      </c>
      <c r="B6" s="38" t="s">
        <v>42</v>
      </c>
    </row>
    <row r="7" ht="17.25" customHeight="1">
      <c r="A7" s="37" t="s">
        <v>25</v>
      </c>
      <c r="B7" s="37"/>
    </row>
    <row r="8" ht="17.25" customHeight="1">
      <c r="A8" s="37" t="s">
        <v>31</v>
      </c>
      <c r="B8" s="39" t="s">
        <v>204</v>
      </c>
    </row>
    <row r="9" ht="17.25" customHeight="1">
      <c r="A9" s="37" t="s">
        <v>35</v>
      </c>
      <c r="B9" s="39"/>
    </row>
    <row r="10" ht="17.25" customHeight="1">
      <c r="A10" s="37" t="s">
        <v>205</v>
      </c>
      <c r="B10" s="39"/>
    </row>
    <row r="11" ht="17.25" customHeight="1">
      <c r="A11" s="37" t="s">
        <v>38</v>
      </c>
      <c r="B11" s="39"/>
    </row>
    <row r="12" ht="17.25" customHeight="1">
      <c r="A12" s="37"/>
      <c r="B12" s="39"/>
      <c r="C12" s="40"/>
    </row>
    <row r="13" ht="17.25" customHeight="1">
      <c r="A13" s="37" t="s">
        <v>42</v>
      </c>
      <c r="B13" s="39"/>
      <c r="C13" s="40"/>
    </row>
    <row r="14" ht="17.25" customHeight="1">
      <c r="A14" s="37" t="s">
        <v>44</v>
      </c>
      <c r="B14" s="39"/>
      <c r="C14" s="40"/>
    </row>
    <row r="15" ht="17.25" customHeight="1">
      <c r="A15" s="37" t="s">
        <v>46</v>
      </c>
      <c r="B15" s="39"/>
    </row>
    <row r="16" ht="24.0" customHeight="1">
      <c r="A16" s="37" t="s">
        <v>48</v>
      </c>
      <c r="B16" s="39"/>
      <c r="C16" s="41"/>
    </row>
    <row r="17" ht="18.75" customHeight="1">
      <c r="A17" s="37"/>
      <c r="B17" s="42"/>
      <c r="C17" s="41"/>
    </row>
    <row r="18" ht="18.75" customHeight="1">
      <c r="A18" s="37" t="s">
        <v>53</v>
      </c>
      <c r="B18" s="37"/>
      <c r="C18" s="41"/>
    </row>
    <row r="19" ht="13.5" customHeight="1">
      <c r="A19" s="37" t="s">
        <v>55</v>
      </c>
      <c r="B19" s="37"/>
      <c r="C19" s="41"/>
      <c r="F19" s="43" t="str">
        <f>IFERROR(UPPER($B$6),"")</f>
        <v>SANKAR GHOSH </v>
      </c>
      <c r="G19" s="44"/>
      <c r="H19" s="44"/>
      <c r="I19" s="44"/>
      <c r="J19" s="45"/>
    </row>
    <row r="20" ht="13.5" customHeight="1">
      <c r="A20" s="37" t="s">
        <v>57</v>
      </c>
      <c r="B20" s="37"/>
      <c r="C20" s="41"/>
      <c r="F20" s="46"/>
      <c r="G20" s="47"/>
      <c r="H20" s="47"/>
      <c r="I20" s="47"/>
      <c r="J20" s="48"/>
    </row>
    <row r="21" ht="19.5" customHeight="1">
      <c r="A21" s="37" t="s">
        <v>60</v>
      </c>
      <c r="B21" s="37"/>
      <c r="F21" s="49" t="s">
        <v>206</v>
      </c>
      <c r="G21" s="50" t="str">
        <f>IFERROR(VLOOKUP($F$19, 'Player Info'!$B:$J,2,0),"")</f>
        <v/>
      </c>
      <c r="H21" s="51"/>
      <c r="I21" s="51"/>
      <c r="J21" s="52"/>
    </row>
    <row r="22" ht="19.5" customHeight="1">
      <c r="A22" s="37" t="s">
        <v>63</v>
      </c>
      <c r="B22" s="37"/>
      <c r="F22" s="49" t="s">
        <v>3</v>
      </c>
      <c r="G22" s="50" t="str">
        <f>IFERROR(VLOOKUP($F$19, 'Player Info'!$B:$J,3,0),"")</f>
        <v/>
      </c>
      <c r="H22" s="51"/>
      <c r="I22" s="51"/>
      <c r="J22" s="52"/>
    </row>
    <row r="23" ht="19.5" customHeight="1">
      <c r="A23" s="37" t="s">
        <v>207</v>
      </c>
      <c r="B23" s="37"/>
      <c r="F23" s="49" t="s">
        <v>4</v>
      </c>
      <c r="G23" s="50" t="str">
        <f>IFERROR(VLOOKUP($F$19, 'Player Info'!$B:$J,4,0),"")</f>
        <v/>
      </c>
      <c r="H23" s="51"/>
      <c r="I23" s="51"/>
      <c r="J23" s="52"/>
    </row>
    <row r="24" ht="19.5" customHeight="1">
      <c r="A24" s="37" t="s">
        <v>70</v>
      </c>
      <c r="B24" s="37"/>
      <c r="F24" s="49" t="s">
        <v>208</v>
      </c>
      <c r="G24" s="50" t="str">
        <f>IFERROR(VLOOKUP($F$19, 'Player Info'!$B:$J,5,0),"")</f>
        <v/>
      </c>
      <c r="H24" s="51"/>
      <c r="I24" s="51"/>
      <c r="J24" s="52"/>
    </row>
    <row r="25" ht="19.5" customHeight="1">
      <c r="A25" s="37" t="s">
        <v>209</v>
      </c>
      <c r="B25" s="37"/>
    </row>
    <row r="26" ht="17.25" customHeight="1">
      <c r="A26" s="37" t="s">
        <v>72</v>
      </c>
      <c r="B26" s="37"/>
    </row>
    <row r="27" ht="17.25" customHeight="1">
      <c r="A27" s="37" t="s">
        <v>75</v>
      </c>
      <c r="B27" s="37"/>
    </row>
    <row r="28" ht="17.25" customHeight="1">
      <c r="A28" s="37" t="s">
        <v>78</v>
      </c>
      <c r="B28" s="37"/>
    </row>
    <row r="29" ht="17.25" customHeight="1">
      <c r="A29" s="37" t="s">
        <v>81</v>
      </c>
      <c r="B29" s="37"/>
    </row>
    <row r="30" ht="17.25" customHeight="1">
      <c r="A30" s="37" t="s">
        <v>84</v>
      </c>
      <c r="B30" s="37"/>
    </row>
    <row r="31" ht="17.25" customHeight="1">
      <c r="A31" s="37"/>
      <c r="B31" s="37"/>
    </row>
    <row r="32" ht="17.25" customHeight="1">
      <c r="A32" s="37"/>
      <c r="B32" s="53"/>
    </row>
    <row r="33" ht="17.25" customHeight="1">
      <c r="A33" s="37"/>
      <c r="B33" s="53"/>
    </row>
    <row r="34">
      <c r="A34" s="37"/>
      <c r="B34" s="53"/>
    </row>
    <row r="35">
      <c r="A35" s="37"/>
      <c r="B35" s="53"/>
    </row>
    <row r="36">
      <c r="A36" s="37"/>
      <c r="B36" s="53"/>
    </row>
    <row r="37">
      <c r="A37" s="37"/>
      <c r="B37" s="53"/>
    </row>
    <row r="38">
      <c r="A38" s="37"/>
      <c r="B38" s="53"/>
    </row>
    <row r="39">
      <c r="A39" s="37"/>
      <c r="B39" s="53"/>
    </row>
    <row r="40">
      <c r="A40" s="37"/>
      <c r="B40" s="53"/>
    </row>
    <row r="41">
      <c r="A41" s="37"/>
      <c r="B41" s="53"/>
    </row>
    <row r="42">
      <c r="A42" s="53"/>
      <c r="B42" s="53"/>
    </row>
    <row r="43">
      <c r="A43" s="53"/>
      <c r="B43" s="53"/>
    </row>
    <row r="44">
      <c r="A44" s="53"/>
      <c r="B44" s="53"/>
    </row>
    <row r="45">
      <c r="A45" s="53"/>
      <c r="B45" s="53"/>
    </row>
    <row r="46">
      <c r="A46" s="53"/>
      <c r="B46" s="53"/>
    </row>
    <row r="47">
      <c r="A47" s="53"/>
      <c r="B47" s="53"/>
    </row>
    <row r="48">
      <c r="A48" s="53"/>
      <c r="B48" s="53"/>
    </row>
    <row r="49">
      <c r="A49" s="53"/>
      <c r="B49" s="53"/>
    </row>
    <row r="50">
      <c r="A50" s="53"/>
      <c r="B50" s="53"/>
    </row>
    <row r="51">
      <c r="A51" s="53"/>
      <c r="B51" s="53"/>
    </row>
    <row r="52">
      <c r="A52" s="53"/>
      <c r="B52" s="53"/>
    </row>
    <row r="53">
      <c r="A53" s="53"/>
      <c r="B53" s="53"/>
    </row>
    <row r="54">
      <c r="A54" s="53"/>
      <c r="B54" s="53"/>
    </row>
    <row r="55">
      <c r="A55" s="53"/>
      <c r="B55" s="53"/>
    </row>
    <row r="56">
      <c r="A56" s="53"/>
      <c r="B56" s="53"/>
    </row>
    <row r="57">
      <c r="A57" s="53"/>
      <c r="B57" s="53"/>
    </row>
    <row r="58">
      <c r="A58" s="53"/>
      <c r="B58" s="53"/>
    </row>
    <row r="59">
      <c r="A59" s="53"/>
      <c r="B59" s="53"/>
    </row>
    <row r="60">
      <c r="A60" s="53"/>
      <c r="B60" s="53"/>
    </row>
    <row r="61">
      <c r="A61" s="53"/>
      <c r="B61" s="53"/>
    </row>
    <row r="62">
      <c r="A62" s="53"/>
      <c r="B62" s="53"/>
    </row>
    <row r="63">
      <c r="A63" s="53"/>
      <c r="B63" s="53"/>
    </row>
    <row r="64">
      <c r="A64" s="53"/>
      <c r="B64" s="53"/>
    </row>
    <row r="65">
      <c r="A65" s="53"/>
      <c r="B65" s="53"/>
    </row>
    <row r="66">
      <c r="A66" s="53"/>
      <c r="B66" s="53"/>
    </row>
    <row r="67">
      <c r="A67" s="53"/>
      <c r="B67" s="53"/>
    </row>
    <row r="68">
      <c r="A68" s="53"/>
      <c r="B68" s="53"/>
    </row>
    <row r="69">
      <c r="A69" s="53"/>
      <c r="B69" s="53"/>
    </row>
    <row r="70">
      <c r="A70" s="53"/>
      <c r="B70" s="53"/>
    </row>
    <row r="71">
      <c r="A71" s="53"/>
      <c r="B71" s="53"/>
    </row>
    <row r="72">
      <c r="A72" s="53"/>
      <c r="B72" s="53"/>
    </row>
    <row r="73">
      <c r="A73" s="53"/>
      <c r="B73" s="53"/>
    </row>
    <row r="74">
      <c r="A74" s="53"/>
      <c r="B74" s="53"/>
    </row>
    <row r="75">
      <c r="A75" s="53"/>
      <c r="B75" s="53"/>
    </row>
    <row r="76">
      <c r="A76" s="53"/>
      <c r="B76" s="53"/>
    </row>
    <row r="77">
      <c r="A77" s="53"/>
      <c r="B77" s="53"/>
    </row>
    <row r="78">
      <c r="A78" s="53"/>
      <c r="B78" s="53"/>
    </row>
    <row r="79">
      <c r="A79" s="53"/>
      <c r="B79" s="53"/>
    </row>
    <row r="80">
      <c r="A80" s="53"/>
      <c r="B80" s="53"/>
    </row>
    <row r="81">
      <c r="A81" s="53"/>
      <c r="B81" s="53"/>
    </row>
    <row r="82">
      <c r="A82" s="53"/>
      <c r="B82" s="53"/>
    </row>
    <row r="83">
      <c r="A83" s="53"/>
      <c r="B83" s="53"/>
    </row>
    <row r="84">
      <c r="A84" s="53"/>
      <c r="B84" s="53"/>
    </row>
    <row r="85">
      <c r="A85" s="53"/>
      <c r="B85" s="53"/>
    </row>
    <row r="86">
      <c r="A86" s="53"/>
      <c r="B86" s="53"/>
    </row>
    <row r="87">
      <c r="A87" s="53"/>
      <c r="B87" s="53"/>
    </row>
    <row r="88">
      <c r="A88" s="53"/>
      <c r="B88" s="53"/>
    </row>
    <row r="89">
      <c r="A89" s="53"/>
      <c r="B89" s="53"/>
    </row>
    <row r="90">
      <c r="A90" s="53"/>
      <c r="B90" s="53"/>
    </row>
    <row r="91">
      <c r="A91" s="53"/>
      <c r="B91" s="53"/>
    </row>
    <row r="92">
      <c r="A92" s="53"/>
      <c r="B92" s="53"/>
    </row>
    <row r="93">
      <c r="A93" s="53"/>
      <c r="B93" s="53"/>
    </row>
    <row r="94">
      <c r="A94" s="53"/>
      <c r="B94" s="53"/>
    </row>
    <row r="95">
      <c r="A95" s="53"/>
      <c r="B95" s="53"/>
    </row>
    <row r="96">
      <c r="A96" s="53"/>
      <c r="B96" s="53"/>
    </row>
    <row r="97">
      <c r="A97" s="53"/>
      <c r="B97" s="53"/>
    </row>
    <row r="98">
      <c r="A98" s="53"/>
      <c r="B98" s="53"/>
    </row>
    <row r="99">
      <c r="A99" s="53"/>
      <c r="B99" s="53"/>
    </row>
    <row r="100">
      <c r="A100" s="53"/>
      <c r="B100" s="53"/>
    </row>
    <row r="101">
      <c r="A101" s="53"/>
      <c r="B101" s="53"/>
    </row>
    <row r="102">
      <c r="A102" s="53"/>
      <c r="B102" s="53"/>
    </row>
    <row r="103">
      <c r="A103" s="53"/>
      <c r="B103" s="53"/>
    </row>
    <row r="104">
      <c r="A104" s="53"/>
      <c r="B104" s="53"/>
    </row>
    <row r="105">
      <c r="A105" s="53"/>
      <c r="B105" s="53"/>
    </row>
    <row r="106">
      <c r="A106" s="53"/>
      <c r="B106" s="53"/>
    </row>
    <row r="107">
      <c r="A107" s="53"/>
      <c r="B107" s="53"/>
    </row>
    <row r="108">
      <c r="A108" s="53"/>
      <c r="B108" s="53"/>
    </row>
    <row r="109">
      <c r="A109" s="53"/>
      <c r="B109" s="53"/>
    </row>
    <row r="110">
      <c r="A110" s="53"/>
      <c r="B110" s="53"/>
    </row>
    <row r="111">
      <c r="A111" s="53"/>
      <c r="B111" s="53"/>
    </row>
    <row r="112">
      <c r="A112" s="53"/>
      <c r="B112" s="53"/>
    </row>
    <row r="113">
      <c r="A113" s="53"/>
      <c r="B113" s="53"/>
    </row>
    <row r="114">
      <c r="A114" s="53"/>
      <c r="B114" s="53"/>
    </row>
    <row r="115">
      <c r="A115" s="53"/>
      <c r="B115" s="53"/>
    </row>
    <row r="116">
      <c r="A116" s="53"/>
      <c r="B116" s="53"/>
    </row>
    <row r="117">
      <c r="A117" s="53"/>
      <c r="B117" s="53"/>
    </row>
    <row r="118">
      <c r="A118" s="53"/>
      <c r="B118" s="53"/>
    </row>
    <row r="119">
      <c r="A119" s="53"/>
      <c r="B119" s="53"/>
    </row>
    <row r="120">
      <c r="A120" s="53"/>
      <c r="B120" s="53"/>
    </row>
    <row r="121">
      <c r="A121" s="53"/>
      <c r="B121" s="53"/>
    </row>
    <row r="122">
      <c r="A122" s="53"/>
      <c r="B122" s="53"/>
    </row>
    <row r="123">
      <c r="A123" s="53"/>
      <c r="B123" s="53"/>
    </row>
    <row r="124">
      <c r="A124" s="53"/>
      <c r="B124" s="53"/>
    </row>
    <row r="125">
      <c r="A125" s="53"/>
      <c r="B125" s="53"/>
    </row>
    <row r="126">
      <c r="A126" s="53"/>
      <c r="B126" s="53"/>
    </row>
    <row r="127">
      <c r="A127" s="53"/>
      <c r="B127" s="53"/>
    </row>
    <row r="128">
      <c r="A128" s="53"/>
      <c r="B128" s="53"/>
    </row>
    <row r="129">
      <c r="A129" s="53"/>
      <c r="B129" s="53"/>
    </row>
    <row r="130">
      <c r="A130" s="53"/>
      <c r="B130" s="53"/>
    </row>
    <row r="131">
      <c r="A131" s="53"/>
      <c r="B131" s="53"/>
    </row>
    <row r="132">
      <c r="A132" s="53"/>
      <c r="B132" s="53"/>
    </row>
    <row r="133">
      <c r="A133" s="53"/>
      <c r="B133" s="53"/>
    </row>
    <row r="134">
      <c r="A134" s="53"/>
      <c r="B134" s="53"/>
    </row>
    <row r="135">
      <c r="A135" s="53"/>
      <c r="B135" s="53"/>
    </row>
    <row r="136">
      <c r="A136" s="53"/>
      <c r="B136" s="53"/>
    </row>
    <row r="137">
      <c r="A137" s="53"/>
      <c r="B137" s="53"/>
    </row>
    <row r="138">
      <c r="A138" s="53"/>
      <c r="B138" s="53"/>
    </row>
    <row r="139">
      <c r="A139" s="53"/>
      <c r="B139" s="53"/>
    </row>
    <row r="140">
      <c r="A140" s="53"/>
      <c r="B140" s="53"/>
    </row>
    <row r="141">
      <c r="A141" s="53"/>
      <c r="B141" s="53"/>
    </row>
    <row r="142">
      <c r="A142" s="53"/>
      <c r="B142" s="53"/>
    </row>
    <row r="143">
      <c r="A143" s="53"/>
      <c r="B143" s="53"/>
    </row>
    <row r="144">
      <c r="A144" s="53"/>
      <c r="B144" s="53"/>
    </row>
    <row r="145">
      <c r="A145" s="53"/>
      <c r="B145" s="53"/>
    </row>
    <row r="146">
      <c r="A146" s="53"/>
      <c r="B146" s="53"/>
    </row>
    <row r="147">
      <c r="A147" s="53"/>
      <c r="B147" s="53"/>
    </row>
    <row r="148">
      <c r="A148" s="53"/>
      <c r="B148" s="53"/>
    </row>
    <row r="149">
      <c r="A149" s="53"/>
      <c r="B149" s="53"/>
    </row>
    <row r="150">
      <c r="A150" s="53"/>
      <c r="B150" s="53"/>
    </row>
    <row r="151">
      <c r="A151" s="53"/>
      <c r="B151" s="53"/>
    </row>
    <row r="152">
      <c r="A152" s="53"/>
      <c r="B152" s="53"/>
    </row>
    <row r="153">
      <c r="A153" s="53"/>
      <c r="B153" s="53"/>
    </row>
    <row r="154">
      <c r="A154" s="53"/>
      <c r="B154" s="53"/>
    </row>
    <row r="155">
      <c r="A155" s="53"/>
      <c r="B155" s="53"/>
    </row>
    <row r="156">
      <c r="A156" s="53"/>
      <c r="B156" s="53"/>
    </row>
    <row r="157">
      <c r="A157" s="53"/>
      <c r="B157" s="53"/>
    </row>
    <row r="158">
      <c r="A158" s="53"/>
      <c r="B158" s="53"/>
    </row>
    <row r="159">
      <c r="A159" s="53"/>
      <c r="B159" s="53"/>
    </row>
    <row r="160">
      <c r="A160" s="53"/>
      <c r="B160" s="53"/>
    </row>
    <row r="161">
      <c r="A161" s="53"/>
      <c r="B161" s="53"/>
    </row>
    <row r="162">
      <c r="A162" s="53"/>
      <c r="B162" s="53"/>
    </row>
    <row r="163">
      <c r="A163" s="53"/>
      <c r="B163" s="53"/>
    </row>
    <row r="164">
      <c r="A164" s="53"/>
      <c r="B164" s="53"/>
    </row>
    <row r="165">
      <c r="A165" s="53"/>
      <c r="B165" s="53"/>
    </row>
    <row r="166">
      <c r="A166" s="53"/>
      <c r="B166" s="53"/>
    </row>
    <row r="167">
      <c r="A167" s="53"/>
      <c r="B167" s="53"/>
    </row>
    <row r="168">
      <c r="A168" s="53"/>
      <c r="B168" s="53"/>
    </row>
    <row r="169">
      <c r="A169" s="53"/>
      <c r="B169" s="53"/>
    </row>
    <row r="170">
      <c r="A170" s="53"/>
      <c r="B170" s="53"/>
    </row>
    <row r="171">
      <c r="A171" s="53"/>
      <c r="B171" s="53"/>
    </row>
    <row r="172">
      <c r="A172" s="53"/>
      <c r="B172" s="53"/>
    </row>
    <row r="173">
      <c r="A173" s="53"/>
      <c r="B173" s="53"/>
    </row>
    <row r="174">
      <c r="A174" s="53"/>
      <c r="B174" s="53"/>
    </row>
    <row r="175">
      <c r="A175" s="53"/>
      <c r="B175" s="53"/>
    </row>
    <row r="176">
      <c r="A176" s="53"/>
      <c r="B176" s="53"/>
    </row>
    <row r="177">
      <c r="A177" s="53"/>
      <c r="B177" s="53"/>
    </row>
    <row r="178">
      <c r="A178" s="53"/>
      <c r="B178" s="53"/>
    </row>
    <row r="179">
      <c r="A179" s="53"/>
      <c r="B179" s="53"/>
    </row>
    <row r="180">
      <c r="A180" s="53"/>
      <c r="B180" s="53"/>
    </row>
    <row r="181">
      <c r="A181" s="53"/>
      <c r="B181" s="53"/>
    </row>
    <row r="182">
      <c r="A182" s="53"/>
      <c r="B182" s="53"/>
    </row>
    <row r="183">
      <c r="A183" s="53"/>
      <c r="B183" s="53"/>
    </row>
    <row r="184">
      <c r="A184" s="53"/>
      <c r="B184" s="53"/>
    </row>
    <row r="185">
      <c r="A185" s="53"/>
      <c r="B185" s="53"/>
    </row>
    <row r="186">
      <c r="A186" s="53"/>
      <c r="B186" s="53"/>
    </row>
    <row r="187">
      <c r="A187" s="53"/>
      <c r="B187" s="53"/>
    </row>
    <row r="188">
      <c r="A188" s="53"/>
      <c r="B188" s="53"/>
    </row>
    <row r="189">
      <c r="A189" s="53"/>
      <c r="B189" s="53"/>
    </row>
    <row r="190">
      <c r="A190" s="53"/>
      <c r="B190" s="53"/>
    </row>
    <row r="191">
      <c r="A191" s="53"/>
      <c r="B191" s="53"/>
    </row>
    <row r="192">
      <c r="A192" s="53"/>
      <c r="B192" s="53"/>
    </row>
    <row r="193">
      <c r="A193" s="53"/>
      <c r="B193" s="53"/>
    </row>
    <row r="194">
      <c r="A194" s="53"/>
      <c r="B194" s="53"/>
    </row>
    <row r="195">
      <c r="A195" s="53"/>
      <c r="B195" s="53"/>
    </row>
    <row r="196">
      <c r="A196" s="53"/>
      <c r="B196" s="53"/>
    </row>
    <row r="197">
      <c r="A197" s="53"/>
      <c r="B197" s="53"/>
    </row>
    <row r="198">
      <c r="A198" s="53"/>
      <c r="B198" s="53"/>
    </row>
    <row r="199">
      <c r="A199" s="53"/>
      <c r="B199" s="53"/>
    </row>
    <row r="200">
      <c r="A200" s="53"/>
      <c r="B200" s="53"/>
    </row>
    <row r="201">
      <c r="A201" s="53"/>
      <c r="B201" s="53"/>
    </row>
    <row r="202">
      <c r="A202" s="53"/>
      <c r="B202" s="53"/>
    </row>
    <row r="203">
      <c r="A203" s="53"/>
      <c r="B203" s="53"/>
    </row>
    <row r="204">
      <c r="A204" s="53"/>
      <c r="B204" s="53"/>
    </row>
    <row r="205">
      <c r="A205" s="53"/>
      <c r="B205" s="53"/>
    </row>
    <row r="206">
      <c r="A206" s="53"/>
      <c r="B206" s="53"/>
    </row>
    <row r="207">
      <c r="A207" s="53"/>
      <c r="B207" s="53"/>
    </row>
    <row r="208">
      <c r="A208" s="53"/>
      <c r="B208" s="53"/>
    </row>
    <row r="209">
      <c r="A209" s="53"/>
      <c r="B209" s="53"/>
    </row>
    <row r="210">
      <c r="A210" s="53"/>
      <c r="B210" s="53"/>
    </row>
    <row r="211">
      <c r="A211" s="53"/>
      <c r="B211" s="53"/>
    </row>
    <row r="212">
      <c r="A212" s="53"/>
      <c r="B212" s="53"/>
    </row>
    <row r="213">
      <c r="A213" s="53"/>
      <c r="B213" s="53"/>
    </row>
    <row r="214">
      <c r="A214" s="53"/>
      <c r="B214" s="53"/>
    </row>
    <row r="215">
      <c r="A215" s="53"/>
      <c r="B215" s="53"/>
    </row>
    <row r="216">
      <c r="A216" s="53"/>
      <c r="B216" s="53"/>
    </row>
    <row r="217">
      <c r="A217" s="53"/>
      <c r="B217" s="53"/>
    </row>
    <row r="218">
      <c r="A218" s="53"/>
      <c r="B218" s="53"/>
    </row>
    <row r="219">
      <c r="A219" s="53"/>
      <c r="B219" s="53"/>
    </row>
    <row r="220">
      <c r="A220" s="53"/>
      <c r="B220" s="53"/>
    </row>
    <row r="221">
      <c r="A221" s="53"/>
      <c r="B221" s="53"/>
    </row>
    <row r="222">
      <c r="A222" s="53"/>
      <c r="B222" s="53"/>
    </row>
    <row r="223">
      <c r="A223" s="53"/>
      <c r="B223" s="53"/>
    </row>
    <row r="224">
      <c r="A224" s="53"/>
      <c r="B224" s="53"/>
    </row>
    <row r="225">
      <c r="A225" s="53"/>
      <c r="B225" s="53"/>
    </row>
    <row r="226">
      <c r="A226" s="53"/>
      <c r="B226" s="53"/>
    </row>
    <row r="227">
      <c r="A227" s="53"/>
      <c r="B227" s="53"/>
    </row>
    <row r="228">
      <c r="A228" s="53"/>
      <c r="B228" s="53"/>
    </row>
    <row r="229">
      <c r="A229" s="53"/>
      <c r="B229" s="53"/>
    </row>
    <row r="230">
      <c r="A230" s="53"/>
      <c r="B230" s="53"/>
    </row>
    <row r="231">
      <c r="A231" s="53"/>
      <c r="B231" s="53"/>
    </row>
    <row r="232">
      <c r="A232" s="53"/>
      <c r="B232" s="53"/>
    </row>
    <row r="233">
      <c r="A233" s="53"/>
      <c r="B233" s="53"/>
    </row>
    <row r="234">
      <c r="A234" s="53"/>
      <c r="B234" s="53"/>
    </row>
    <row r="235">
      <c r="A235" s="53"/>
      <c r="B235" s="53"/>
    </row>
    <row r="236">
      <c r="A236" s="53"/>
      <c r="B236" s="53"/>
    </row>
    <row r="237">
      <c r="A237" s="53"/>
      <c r="B237" s="53"/>
    </row>
    <row r="238">
      <c r="A238" s="53"/>
      <c r="B238" s="53"/>
    </row>
    <row r="239">
      <c r="A239" s="53"/>
      <c r="B239" s="53"/>
    </row>
    <row r="240">
      <c r="A240" s="53"/>
      <c r="B240" s="53"/>
    </row>
    <row r="241">
      <c r="A241" s="53"/>
      <c r="B241" s="53"/>
    </row>
    <row r="242">
      <c r="A242" s="53"/>
      <c r="B242" s="53"/>
    </row>
    <row r="243">
      <c r="A243" s="53"/>
      <c r="B243" s="53"/>
    </row>
    <row r="244">
      <c r="A244" s="53"/>
      <c r="B244" s="53"/>
    </row>
    <row r="245">
      <c r="A245" s="53"/>
      <c r="B245" s="53"/>
    </row>
    <row r="246">
      <c r="A246" s="53"/>
      <c r="B246" s="53"/>
    </row>
    <row r="247">
      <c r="A247" s="53"/>
      <c r="B247" s="53"/>
    </row>
    <row r="248">
      <c r="A248" s="53"/>
      <c r="B248" s="53"/>
    </row>
    <row r="249">
      <c r="A249" s="53"/>
      <c r="B249" s="53"/>
    </row>
    <row r="250">
      <c r="A250" s="53"/>
      <c r="B250" s="53"/>
    </row>
    <row r="251">
      <c r="A251" s="53"/>
      <c r="B251" s="53"/>
    </row>
    <row r="252">
      <c r="A252" s="53"/>
      <c r="B252" s="53"/>
    </row>
    <row r="253">
      <c r="A253" s="53"/>
      <c r="B253" s="53"/>
    </row>
    <row r="254">
      <c r="A254" s="53"/>
      <c r="B254" s="53"/>
    </row>
    <row r="255">
      <c r="A255" s="53"/>
      <c r="B255" s="53"/>
    </row>
    <row r="256">
      <c r="A256" s="53"/>
      <c r="B256" s="53"/>
    </row>
    <row r="257">
      <c r="A257" s="53"/>
      <c r="B257" s="53"/>
    </row>
    <row r="258">
      <c r="A258" s="53"/>
      <c r="B258" s="53"/>
    </row>
    <row r="259">
      <c r="A259" s="53"/>
      <c r="B259" s="53"/>
    </row>
    <row r="260">
      <c r="A260" s="53"/>
      <c r="B260" s="53"/>
    </row>
    <row r="261">
      <c r="A261" s="53"/>
      <c r="B261" s="53"/>
    </row>
    <row r="262">
      <c r="A262" s="53"/>
      <c r="B262" s="53"/>
    </row>
    <row r="263">
      <c r="A263" s="53"/>
      <c r="B263" s="53"/>
    </row>
    <row r="264">
      <c r="A264" s="53"/>
      <c r="B264" s="53"/>
    </row>
    <row r="265">
      <c r="A265" s="53"/>
      <c r="B265" s="53"/>
    </row>
    <row r="266">
      <c r="A266" s="53"/>
      <c r="B266" s="53"/>
    </row>
    <row r="267">
      <c r="A267" s="53"/>
      <c r="B267" s="53"/>
    </row>
    <row r="268">
      <c r="A268" s="53"/>
      <c r="B268" s="53"/>
    </row>
    <row r="269">
      <c r="A269" s="53"/>
      <c r="B269" s="53"/>
    </row>
    <row r="270">
      <c r="A270" s="53"/>
      <c r="B270" s="53"/>
    </row>
    <row r="271">
      <c r="A271" s="53"/>
      <c r="B271" s="53"/>
    </row>
    <row r="272">
      <c r="A272" s="53"/>
      <c r="B272" s="53"/>
    </row>
    <row r="273">
      <c r="A273" s="53"/>
      <c r="B273" s="53"/>
    </row>
    <row r="274">
      <c r="A274" s="53"/>
      <c r="B274" s="53"/>
    </row>
    <row r="275">
      <c r="A275" s="53"/>
      <c r="B275" s="53"/>
    </row>
    <row r="276">
      <c r="A276" s="53"/>
      <c r="B276" s="53"/>
    </row>
    <row r="277">
      <c r="A277" s="53"/>
      <c r="B277" s="53"/>
    </row>
    <row r="278">
      <c r="A278" s="53"/>
      <c r="B278" s="53"/>
    </row>
    <row r="279">
      <c r="A279" s="53"/>
      <c r="B279" s="53"/>
    </row>
    <row r="280">
      <c r="A280" s="53"/>
      <c r="B280" s="53"/>
    </row>
    <row r="281">
      <c r="A281" s="53"/>
      <c r="B281" s="53"/>
    </row>
    <row r="282">
      <c r="A282" s="53"/>
      <c r="B282" s="53"/>
    </row>
    <row r="283">
      <c r="A283" s="53"/>
      <c r="B283" s="53"/>
    </row>
    <row r="284">
      <c r="A284" s="53"/>
      <c r="B284" s="53"/>
    </row>
    <row r="285">
      <c r="A285" s="53"/>
      <c r="B285" s="53"/>
    </row>
    <row r="286">
      <c r="A286" s="53"/>
      <c r="B286" s="53"/>
    </row>
    <row r="287">
      <c r="A287" s="53"/>
      <c r="B287" s="53"/>
    </row>
    <row r="288">
      <c r="A288" s="53"/>
      <c r="B288" s="53"/>
    </row>
    <row r="289">
      <c r="A289" s="53"/>
      <c r="B289" s="53"/>
    </row>
    <row r="290">
      <c r="A290" s="53"/>
      <c r="B290" s="53"/>
    </row>
    <row r="291">
      <c r="A291" s="53"/>
      <c r="B291" s="53"/>
    </row>
    <row r="292">
      <c r="A292" s="53"/>
      <c r="B292" s="53"/>
    </row>
    <row r="293">
      <c r="A293" s="53"/>
      <c r="B293" s="53"/>
    </row>
    <row r="294">
      <c r="A294" s="53"/>
      <c r="B294" s="53"/>
    </row>
    <row r="295">
      <c r="A295" s="53"/>
      <c r="B295" s="53"/>
    </row>
    <row r="296">
      <c r="A296" s="53"/>
      <c r="B296" s="53"/>
    </row>
    <row r="297">
      <c r="A297" s="53"/>
      <c r="B297" s="53"/>
    </row>
    <row r="298">
      <c r="A298" s="53"/>
      <c r="B298" s="53"/>
    </row>
    <row r="299">
      <c r="A299" s="53"/>
      <c r="B299" s="53"/>
    </row>
    <row r="300">
      <c r="A300" s="53"/>
      <c r="B300" s="53"/>
    </row>
    <row r="301">
      <c r="A301" s="53"/>
      <c r="B301" s="53"/>
    </row>
    <row r="302">
      <c r="A302" s="53"/>
      <c r="B302" s="53"/>
    </row>
    <row r="303">
      <c r="A303" s="53"/>
      <c r="B303" s="53"/>
    </row>
    <row r="304">
      <c r="A304" s="53"/>
      <c r="B304" s="53"/>
    </row>
    <row r="305">
      <c r="A305" s="53"/>
      <c r="B305" s="53"/>
    </row>
    <row r="306">
      <c r="A306" s="53"/>
      <c r="B306" s="53"/>
    </row>
    <row r="307">
      <c r="A307" s="53"/>
      <c r="B307" s="53"/>
    </row>
    <row r="308">
      <c r="A308" s="53"/>
      <c r="B308" s="53"/>
    </row>
    <row r="309">
      <c r="A309" s="53"/>
      <c r="B309" s="53"/>
    </row>
    <row r="310">
      <c r="A310" s="53"/>
      <c r="B310" s="53"/>
    </row>
    <row r="311">
      <c r="A311" s="53"/>
      <c r="B311" s="53"/>
    </row>
    <row r="312">
      <c r="A312" s="53"/>
      <c r="B312" s="53"/>
    </row>
    <row r="313">
      <c r="A313" s="53"/>
      <c r="B313" s="53"/>
    </row>
    <row r="314">
      <c r="A314" s="53"/>
      <c r="B314" s="53"/>
    </row>
    <row r="315">
      <c r="A315" s="53"/>
      <c r="B315" s="53"/>
    </row>
    <row r="316">
      <c r="A316" s="53"/>
      <c r="B316" s="53"/>
    </row>
    <row r="317">
      <c r="A317" s="53"/>
      <c r="B317" s="53"/>
    </row>
    <row r="318">
      <c r="A318" s="53"/>
      <c r="B318" s="53"/>
    </row>
    <row r="319">
      <c r="A319" s="53"/>
      <c r="B319" s="53"/>
    </row>
    <row r="320">
      <c r="A320" s="53"/>
      <c r="B320" s="53"/>
    </row>
    <row r="321">
      <c r="A321" s="53"/>
      <c r="B321" s="53"/>
    </row>
    <row r="322">
      <c r="A322" s="53"/>
      <c r="B322" s="53"/>
    </row>
    <row r="323">
      <c r="A323" s="53"/>
      <c r="B323" s="53"/>
    </row>
    <row r="324">
      <c r="A324" s="53"/>
      <c r="B324" s="53"/>
    </row>
    <row r="325">
      <c r="A325" s="53"/>
      <c r="B325" s="53"/>
    </row>
    <row r="326">
      <c r="A326" s="53"/>
      <c r="B326" s="53"/>
    </row>
    <row r="327">
      <c r="A327" s="53"/>
      <c r="B327" s="53"/>
    </row>
    <row r="328">
      <c r="A328" s="53"/>
      <c r="B328" s="53"/>
    </row>
    <row r="329">
      <c r="A329" s="53"/>
      <c r="B329" s="53"/>
    </row>
    <row r="330">
      <c r="A330" s="53"/>
      <c r="B330" s="53"/>
    </row>
    <row r="331">
      <c r="A331" s="53"/>
      <c r="B331" s="53"/>
    </row>
    <row r="332">
      <c r="A332" s="53"/>
      <c r="B332" s="53"/>
    </row>
    <row r="333">
      <c r="A333" s="53"/>
      <c r="B333" s="53"/>
    </row>
    <row r="334">
      <c r="A334" s="53"/>
      <c r="B334" s="53"/>
    </row>
    <row r="335">
      <c r="A335" s="53"/>
      <c r="B335" s="53"/>
    </row>
    <row r="336">
      <c r="A336" s="53"/>
      <c r="B336" s="53"/>
    </row>
    <row r="337">
      <c r="A337" s="53"/>
      <c r="B337" s="53"/>
    </row>
    <row r="338">
      <c r="A338" s="53"/>
      <c r="B338" s="53"/>
    </row>
    <row r="339">
      <c r="A339" s="53"/>
      <c r="B339" s="53"/>
    </row>
    <row r="340">
      <c r="A340" s="53"/>
      <c r="B340" s="53"/>
    </row>
    <row r="341">
      <c r="A341" s="53"/>
      <c r="B341" s="53"/>
    </row>
    <row r="342">
      <c r="A342" s="53"/>
      <c r="B342" s="53"/>
    </row>
    <row r="343">
      <c r="A343" s="53"/>
      <c r="B343" s="53"/>
    </row>
    <row r="344">
      <c r="A344" s="53"/>
      <c r="B344" s="53"/>
    </row>
    <row r="345">
      <c r="A345" s="53"/>
      <c r="B345" s="53"/>
    </row>
    <row r="346">
      <c r="A346" s="53"/>
      <c r="B346" s="53"/>
    </row>
    <row r="347">
      <c r="A347" s="53"/>
      <c r="B347" s="53"/>
    </row>
    <row r="348">
      <c r="A348" s="53"/>
      <c r="B348" s="53"/>
    </row>
    <row r="349">
      <c r="A349" s="53"/>
      <c r="B349" s="53"/>
    </row>
    <row r="350">
      <c r="A350" s="53"/>
      <c r="B350" s="53"/>
    </row>
    <row r="351">
      <c r="A351" s="53"/>
      <c r="B351" s="53"/>
    </row>
    <row r="352">
      <c r="A352" s="53"/>
      <c r="B352" s="53"/>
    </row>
    <row r="353">
      <c r="A353" s="53"/>
      <c r="B353" s="53"/>
    </row>
    <row r="354">
      <c r="A354" s="53"/>
      <c r="B354" s="53"/>
    </row>
    <row r="355">
      <c r="A355" s="53"/>
      <c r="B355" s="53"/>
    </row>
    <row r="356">
      <c r="A356" s="53"/>
      <c r="B356" s="53"/>
    </row>
    <row r="357">
      <c r="A357" s="53"/>
      <c r="B357" s="53"/>
    </row>
    <row r="358">
      <c r="A358" s="53"/>
      <c r="B358" s="53"/>
    </row>
    <row r="359">
      <c r="A359" s="53"/>
      <c r="B359" s="53"/>
    </row>
    <row r="360">
      <c r="A360" s="53"/>
      <c r="B360" s="53"/>
    </row>
    <row r="361">
      <c r="A361" s="53"/>
      <c r="B361" s="53"/>
    </row>
    <row r="362">
      <c r="A362" s="53"/>
      <c r="B362" s="53"/>
    </row>
    <row r="363">
      <c r="A363" s="53"/>
      <c r="B363" s="53"/>
    </row>
    <row r="364">
      <c r="A364" s="53"/>
      <c r="B364" s="53"/>
    </row>
    <row r="365">
      <c r="A365" s="53"/>
      <c r="B365" s="53"/>
    </row>
    <row r="366">
      <c r="A366" s="53"/>
      <c r="B366" s="53"/>
    </row>
    <row r="367">
      <c r="A367" s="53"/>
      <c r="B367" s="53"/>
    </row>
    <row r="368">
      <c r="A368" s="53"/>
      <c r="B368" s="53"/>
    </row>
    <row r="369">
      <c r="A369" s="53"/>
      <c r="B369" s="53"/>
    </row>
    <row r="370">
      <c r="A370" s="53"/>
      <c r="B370" s="53"/>
    </row>
    <row r="371">
      <c r="A371" s="53"/>
      <c r="B371" s="53"/>
    </row>
    <row r="372">
      <c r="A372" s="53"/>
      <c r="B372" s="53"/>
    </row>
    <row r="373">
      <c r="A373" s="53"/>
      <c r="B373" s="53"/>
    </row>
    <row r="374">
      <c r="A374" s="53"/>
      <c r="B374" s="53"/>
    </row>
    <row r="375">
      <c r="A375" s="53"/>
      <c r="B375" s="53"/>
    </row>
    <row r="376">
      <c r="A376" s="53"/>
      <c r="B376" s="53"/>
    </row>
    <row r="377">
      <c r="A377" s="53"/>
      <c r="B377" s="53"/>
    </row>
    <row r="378">
      <c r="A378" s="53"/>
      <c r="B378" s="53"/>
    </row>
    <row r="379">
      <c r="A379" s="53"/>
      <c r="B379" s="53"/>
    </row>
    <row r="380">
      <c r="A380" s="53"/>
      <c r="B380" s="53"/>
    </row>
    <row r="381">
      <c r="A381" s="53"/>
      <c r="B381" s="53"/>
    </row>
    <row r="382">
      <c r="A382" s="53"/>
      <c r="B382" s="53"/>
    </row>
    <row r="383">
      <c r="A383" s="53"/>
      <c r="B383" s="53"/>
    </row>
    <row r="384">
      <c r="A384" s="53"/>
      <c r="B384" s="53"/>
    </row>
    <row r="385">
      <c r="A385" s="53"/>
      <c r="B385" s="53"/>
    </row>
    <row r="386">
      <c r="A386" s="53"/>
      <c r="B386" s="53"/>
    </row>
    <row r="387">
      <c r="A387" s="53"/>
      <c r="B387" s="53"/>
    </row>
    <row r="388">
      <c r="A388" s="53"/>
      <c r="B388" s="53"/>
    </row>
    <row r="389">
      <c r="A389" s="53"/>
      <c r="B389" s="53"/>
    </row>
    <row r="390">
      <c r="A390" s="53"/>
      <c r="B390" s="53"/>
    </row>
    <row r="391">
      <c r="A391" s="53"/>
      <c r="B391" s="53"/>
    </row>
    <row r="392">
      <c r="A392" s="53"/>
      <c r="B392" s="53"/>
    </row>
    <row r="393">
      <c r="A393" s="53"/>
      <c r="B393" s="53"/>
    </row>
    <row r="394">
      <c r="A394" s="53"/>
      <c r="B394" s="53"/>
    </row>
    <row r="395">
      <c r="A395" s="53"/>
      <c r="B395" s="53"/>
    </row>
    <row r="396">
      <c r="A396" s="53"/>
      <c r="B396" s="53"/>
    </row>
    <row r="397">
      <c r="A397" s="53"/>
      <c r="B397" s="53"/>
    </row>
    <row r="398">
      <c r="A398" s="53"/>
      <c r="B398" s="53"/>
    </row>
    <row r="399">
      <c r="A399" s="53"/>
      <c r="B399" s="53"/>
    </row>
    <row r="400">
      <c r="A400" s="53"/>
      <c r="B400" s="53"/>
    </row>
    <row r="401">
      <c r="A401" s="53"/>
      <c r="B401" s="53"/>
    </row>
    <row r="402">
      <c r="A402" s="53"/>
      <c r="B402" s="53"/>
    </row>
    <row r="403">
      <c r="A403" s="53"/>
      <c r="B403" s="53"/>
    </row>
    <row r="404">
      <c r="A404" s="53"/>
      <c r="B404" s="53"/>
    </row>
    <row r="405">
      <c r="A405" s="53"/>
      <c r="B405" s="53"/>
    </row>
    <row r="406">
      <c r="A406" s="53"/>
      <c r="B406" s="53"/>
    </row>
    <row r="407">
      <c r="A407" s="53"/>
      <c r="B407" s="53"/>
    </row>
    <row r="408">
      <c r="A408" s="53"/>
      <c r="B408" s="53"/>
    </row>
    <row r="409">
      <c r="A409" s="53"/>
      <c r="B409" s="53"/>
    </row>
    <row r="410">
      <c r="A410" s="53"/>
      <c r="B410" s="53"/>
    </row>
    <row r="411">
      <c r="A411" s="53"/>
      <c r="B411" s="53"/>
    </row>
    <row r="412">
      <c r="A412" s="53"/>
      <c r="B412" s="53"/>
    </row>
    <row r="413">
      <c r="A413" s="53"/>
      <c r="B413" s="53"/>
    </row>
    <row r="414">
      <c r="A414" s="53"/>
      <c r="B414" s="53"/>
    </row>
    <row r="415">
      <c r="A415" s="53"/>
      <c r="B415" s="53"/>
    </row>
    <row r="416">
      <c r="A416" s="53"/>
      <c r="B416" s="53"/>
    </row>
    <row r="417">
      <c r="A417" s="53"/>
      <c r="B417" s="53"/>
    </row>
    <row r="418">
      <c r="A418" s="53"/>
      <c r="B418" s="53"/>
    </row>
    <row r="419">
      <c r="A419" s="53"/>
      <c r="B419" s="53"/>
    </row>
    <row r="420">
      <c r="A420" s="53"/>
      <c r="B420" s="53"/>
    </row>
    <row r="421">
      <c r="A421" s="53"/>
      <c r="B421" s="53"/>
    </row>
    <row r="422">
      <c r="A422" s="53"/>
      <c r="B422" s="53"/>
    </row>
    <row r="423">
      <c r="A423" s="53"/>
      <c r="B423" s="53"/>
    </row>
    <row r="424">
      <c r="A424" s="53"/>
      <c r="B424" s="53"/>
    </row>
    <row r="425">
      <c r="A425" s="53"/>
      <c r="B425" s="53"/>
    </row>
    <row r="426">
      <c r="A426" s="53"/>
      <c r="B426" s="53"/>
    </row>
    <row r="427">
      <c r="A427" s="53"/>
      <c r="B427" s="53"/>
    </row>
    <row r="428">
      <c r="A428" s="53"/>
      <c r="B428" s="53"/>
    </row>
    <row r="429">
      <c r="A429" s="53"/>
      <c r="B429" s="53"/>
    </row>
    <row r="430">
      <c r="A430" s="53"/>
      <c r="B430" s="53"/>
    </row>
    <row r="431">
      <c r="A431" s="53"/>
      <c r="B431" s="53"/>
    </row>
    <row r="432">
      <c r="A432" s="53"/>
      <c r="B432" s="53"/>
    </row>
    <row r="433">
      <c r="A433" s="53"/>
      <c r="B433" s="53"/>
    </row>
    <row r="434">
      <c r="A434" s="53"/>
      <c r="B434" s="53"/>
    </row>
    <row r="435">
      <c r="A435" s="53"/>
      <c r="B435" s="53"/>
    </row>
    <row r="436">
      <c r="A436" s="53"/>
      <c r="B436" s="53"/>
    </row>
    <row r="437">
      <c r="A437" s="53"/>
      <c r="B437" s="53"/>
    </row>
    <row r="438">
      <c r="A438" s="53"/>
      <c r="B438" s="53"/>
    </row>
    <row r="439">
      <c r="A439" s="53"/>
      <c r="B439" s="53"/>
    </row>
    <row r="440">
      <c r="A440" s="53"/>
      <c r="B440" s="53"/>
    </row>
    <row r="441">
      <c r="A441" s="53"/>
      <c r="B441" s="53"/>
    </row>
    <row r="442">
      <c r="A442" s="53"/>
      <c r="B442" s="53"/>
    </row>
    <row r="443">
      <c r="A443" s="53"/>
      <c r="B443" s="53"/>
    </row>
    <row r="444">
      <c r="A444" s="53"/>
      <c r="B444" s="53"/>
    </row>
    <row r="445">
      <c r="A445" s="53"/>
      <c r="B445" s="53"/>
    </row>
    <row r="446">
      <c r="A446" s="53"/>
      <c r="B446" s="53"/>
    </row>
    <row r="447">
      <c r="A447" s="53"/>
      <c r="B447" s="53"/>
    </row>
    <row r="448">
      <c r="A448" s="53"/>
      <c r="B448" s="53"/>
    </row>
    <row r="449">
      <c r="A449" s="53"/>
      <c r="B449" s="53"/>
    </row>
    <row r="450">
      <c r="A450" s="53"/>
      <c r="B450" s="53"/>
    </row>
    <row r="451">
      <c r="A451" s="53"/>
      <c r="B451" s="53"/>
    </row>
    <row r="452">
      <c r="A452" s="53"/>
      <c r="B452" s="53"/>
    </row>
    <row r="453">
      <c r="A453" s="53"/>
      <c r="B453" s="53"/>
    </row>
    <row r="454">
      <c r="A454" s="53"/>
      <c r="B454" s="53"/>
    </row>
    <row r="455">
      <c r="A455" s="53"/>
      <c r="B455" s="53"/>
    </row>
    <row r="456">
      <c r="A456" s="53"/>
      <c r="B456" s="53"/>
    </row>
    <row r="457">
      <c r="A457" s="53"/>
      <c r="B457" s="53"/>
    </row>
    <row r="458">
      <c r="A458" s="53"/>
      <c r="B458" s="53"/>
    </row>
    <row r="459">
      <c r="A459" s="53"/>
      <c r="B459" s="53"/>
    </row>
    <row r="460">
      <c r="A460" s="53"/>
      <c r="B460" s="53"/>
    </row>
    <row r="461">
      <c r="A461" s="53"/>
      <c r="B461" s="53"/>
    </row>
    <row r="462">
      <c r="A462" s="53"/>
      <c r="B462" s="53"/>
    </row>
    <row r="463">
      <c r="A463" s="53"/>
      <c r="B463" s="53"/>
    </row>
    <row r="464">
      <c r="A464" s="53"/>
      <c r="B464" s="53"/>
    </row>
    <row r="465">
      <c r="A465" s="53"/>
      <c r="B465" s="53"/>
    </row>
    <row r="466">
      <c r="A466" s="53"/>
      <c r="B466" s="53"/>
    </row>
    <row r="467">
      <c r="A467" s="53"/>
      <c r="B467" s="53"/>
    </row>
    <row r="468">
      <c r="A468" s="53"/>
      <c r="B468" s="53"/>
    </row>
    <row r="469">
      <c r="A469" s="53"/>
      <c r="B469" s="53"/>
    </row>
    <row r="470">
      <c r="A470" s="53"/>
      <c r="B470" s="53"/>
    </row>
    <row r="471">
      <c r="A471" s="53"/>
      <c r="B471" s="53"/>
    </row>
    <row r="472">
      <c r="A472" s="53"/>
      <c r="B472" s="53"/>
    </row>
    <row r="473">
      <c r="A473" s="53"/>
      <c r="B473" s="53"/>
    </row>
    <row r="474">
      <c r="A474" s="53"/>
      <c r="B474" s="53"/>
    </row>
    <row r="475">
      <c r="A475" s="53"/>
      <c r="B475" s="53"/>
    </row>
    <row r="476">
      <c r="A476" s="53"/>
      <c r="B476" s="53"/>
    </row>
    <row r="477">
      <c r="A477" s="53"/>
      <c r="B477" s="53"/>
    </row>
    <row r="478">
      <c r="A478" s="53"/>
      <c r="B478" s="53"/>
    </row>
    <row r="479">
      <c r="A479" s="53"/>
      <c r="B479" s="53"/>
    </row>
    <row r="480">
      <c r="A480" s="53"/>
      <c r="B480" s="53"/>
    </row>
    <row r="481">
      <c r="A481" s="53"/>
      <c r="B481" s="53"/>
    </row>
    <row r="482">
      <c r="A482" s="53"/>
      <c r="B482" s="53"/>
    </row>
    <row r="483">
      <c r="A483" s="53"/>
      <c r="B483" s="53"/>
    </row>
    <row r="484">
      <c r="A484" s="53"/>
      <c r="B484" s="53"/>
    </row>
    <row r="485">
      <c r="A485" s="53"/>
      <c r="B485" s="53"/>
    </row>
    <row r="486">
      <c r="A486" s="53"/>
      <c r="B486" s="53"/>
    </row>
    <row r="487">
      <c r="A487" s="53"/>
      <c r="B487" s="53"/>
    </row>
    <row r="488">
      <c r="A488" s="53"/>
      <c r="B488" s="53"/>
    </row>
    <row r="489">
      <c r="A489" s="53"/>
      <c r="B489" s="53"/>
    </row>
    <row r="490">
      <c r="A490" s="53"/>
      <c r="B490" s="53"/>
    </row>
    <row r="491">
      <c r="A491" s="53"/>
      <c r="B491" s="53"/>
    </row>
    <row r="492">
      <c r="A492" s="53"/>
      <c r="B492" s="53"/>
    </row>
    <row r="493">
      <c r="A493" s="53"/>
      <c r="B493" s="53"/>
    </row>
    <row r="494">
      <c r="A494" s="53"/>
      <c r="B494" s="53"/>
    </row>
    <row r="495">
      <c r="A495" s="53"/>
      <c r="B495" s="53"/>
    </row>
    <row r="496">
      <c r="A496" s="53"/>
      <c r="B496" s="53"/>
    </row>
    <row r="497">
      <c r="A497" s="53"/>
      <c r="B497" s="53"/>
    </row>
    <row r="498">
      <c r="A498" s="53"/>
      <c r="B498" s="53"/>
    </row>
    <row r="499">
      <c r="A499" s="53"/>
      <c r="B499" s="53"/>
    </row>
    <row r="500">
      <c r="A500" s="53"/>
      <c r="B500" s="53"/>
    </row>
    <row r="501">
      <c r="A501" s="53"/>
      <c r="B501" s="53"/>
    </row>
    <row r="502">
      <c r="A502" s="53"/>
      <c r="B502" s="53"/>
    </row>
    <row r="503">
      <c r="A503" s="53"/>
      <c r="B503" s="53"/>
    </row>
    <row r="504">
      <c r="A504" s="53"/>
      <c r="B504" s="53"/>
    </row>
    <row r="505">
      <c r="A505" s="53"/>
      <c r="B505" s="53"/>
    </row>
    <row r="506">
      <c r="A506" s="53"/>
      <c r="B506" s="53"/>
    </row>
    <row r="507">
      <c r="A507" s="53"/>
      <c r="B507" s="53"/>
    </row>
    <row r="508">
      <c r="A508" s="53"/>
      <c r="B508" s="53"/>
    </row>
    <row r="509">
      <c r="A509" s="53"/>
      <c r="B509" s="53"/>
    </row>
    <row r="510">
      <c r="A510" s="53"/>
      <c r="B510" s="53"/>
    </row>
    <row r="511">
      <c r="A511" s="53"/>
      <c r="B511" s="53"/>
    </row>
    <row r="512">
      <c r="A512" s="53"/>
      <c r="B512" s="53"/>
    </row>
    <row r="513">
      <c r="A513" s="53"/>
      <c r="B513" s="53"/>
    </row>
    <row r="514">
      <c r="A514" s="53"/>
      <c r="B514" s="53"/>
    </row>
    <row r="515">
      <c r="A515" s="53"/>
      <c r="B515" s="53"/>
    </row>
    <row r="516">
      <c r="A516" s="53"/>
      <c r="B516" s="53"/>
    </row>
    <row r="517">
      <c r="A517" s="53"/>
      <c r="B517" s="53"/>
    </row>
    <row r="518">
      <c r="A518" s="53"/>
      <c r="B518" s="53"/>
    </row>
    <row r="519">
      <c r="A519" s="53"/>
      <c r="B519" s="53"/>
    </row>
    <row r="520">
      <c r="A520" s="53"/>
      <c r="B520" s="53"/>
    </row>
    <row r="521">
      <c r="A521" s="53"/>
      <c r="B521" s="53"/>
    </row>
    <row r="522">
      <c r="A522" s="53"/>
      <c r="B522" s="53"/>
    </row>
    <row r="523">
      <c r="A523" s="53"/>
      <c r="B523" s="53"/>
    </row>
    <row r="524">
      <c r="A524" s="53"/>
      <c r="B524" s="53"/>
    </row>
    <row r="525">
      <c r="A525" s="53"/>
      <c r="B525" s="53"/>
    </row>
    <row r="526">
      <c r="A526" s="53"/>
      <c r="B526" s="53"/>
    </row>
    <row r="527">
      <c r="A527" s="53"/>
      <c r="B527" s="53"/>
    </row>
    <row r="528">
      <c r="A528" s="53"/>
      <c r="B528" s="53"/>
    </row>
    <row r="529">
      <c r="A529" s="53"/>
      <c r="B529" s="53"/>
    </row>
    <row r="530">
      <c r="A530" s="53"/>
      <c r="B530" s="53"/>
    </row>
    <row r="531">
      <c r="A531" s="53"/>
      <c r="B531" s="53"/>
    </row>
    <row r="532">
      <c r="A532" s="53"/>
      <c r="B532" s="53"/>
    </row>
    <row r="533">
      <c r="A533" s="53"/>
      <c r="B533" s="53"/>
    </row>
    <row r="534">
      <c r="A534" s="53"/>
      <c r="B534" s="53"/>
    </row>
    <row r="535">
      <c r="A535" s="53"/>
      <c r="B535" s="53"/>
    </row>
    <row r="536">
      <c r="A536" s="53"/>
      <c r="B536" s="53"/>
    </row>
    <row r="537">
      <c r="A537" s="53"/>
      <c r="B537" s="53"/>
    </row>
    <row r="538">
      <c r="A538" s="53"/>
      <c r="B538" s="53"/>
    </row>
    <row r="539">
      <c r="A539" s="53"/>
      <c r="B539" s="53"/>
    </row>
    <row r="540">
      <c r="A540" s="53"/>
      <c r="B540" s="53"/>
    </row>
    <row r="541">
      <c r="A541" s="53"/>
      <c r="B541" s="53"/>
    </row>
    <row r="542">
      <c r="A542" s="53"/>
      <c r="B542" s="53"/>
    </row>
    <row r="543">
      <c r="A543" s="53"/>
      <c r="B543" s="53"/>
    </row>
    <row r="544">
      <c r="A544" s="53"/>
      <c r="B544" s="53"/>
    </row>
    <row r="545">
      <c r="A545" s="53"/>
      <c r="B545" s="53"/>
    </row>
    <row r="546">
      <c r="A546" s="53"/>
      <c r="B546" s="53"/>
    </row>
    <row r="547">
      <c r="A547" s="53"/>
      <c r="B547" s="53"/>
    </row>
    <row r="548">
      <c r="A548" s="53"/>
      <c r="B548" s="53"/>
    </row>
    <row r="549">
      <c r="A549" s="53"/>
      <c r="B549" s="53"/>
    </row>
    <row r="550">
      <c r="A550" s="53"/>
      <c r="B550" s="53"/>
    </row>
    <row r="551">
      <c r="A551" s="53"/>
      <c r="B551" s="53"/>
    </row>
    <row r="552">
      <c r="A552" s="53"/>
      <c r="B552" s="53"/>
    </row>
    <row r="553">
      <c r="A553" s="53"/>
      <c r="B553" s="53"/>
    </row>
    <row r="554">
      <c r="A554" s="53"/>
      <c r="B554" s="53"/>
    </row>
    <row r="555">
      <c r="A555" s="53"/>
      <c r="B555" s="53"/>
    </row>
    <row r="556">
      <c r="A556" s="53"/>
      <c r="B556" s="53"/>
    </row>
    <row r="557">
      <c r="A557" s="53"/>
      <c r="B557" s="53"/>
    </row>
    <row r="558">
      <c r="A558" s="53"/>
      <c r="B558" s="53"/>
    </row>
    <row r="559">
      <c r="A559" s="53"/>
      <c r="B559" s="53"/>
    </row>
    <row r="560">
      <c r="A560" s="53"/>
      <c r="B560" s="53"/>
    </row>
    <row r="561">
      <c r="A561" s="53"/>
      <c r="B561" s="53"/>
    </row>
    <row r="562">
      <c r="A562" s="53"/>
      <c r="B562" s="53"/>
    </row>
    <row r="563">
      <c r="A563" s="53"/>
      <c r="B563" s="53"/>
    </row>
    <row r="564">
      <c r="A564" s="53"/>
      <c r="B564" s="53"/>
    </row>
    <row r="565">
      <c r="A565" s="53"/>
      <c r="B565" s="53"/>
    </row>
    <row r="566">
      <c r="A566" s="53"/>
      <c r="B566" s="53"/>
    </row>
    <row r="567">
      <c r="A567" s="53"/>
      <c r="B567" s="53"/>
    </row>
    <row r="568">
      <c r="A568" s="53"/>
      <c r="B568" s="53"/>
    </row>
    <row r="569">
      <c r="A569" s="53"/>
      <c r="B569" s="53"/>
    </row>
    <row r="570">
      <c r="A570" s="53"/>
      <c r="B570" s="53"/>
    </row>
    <row r="571">
      <c r="A571" s="53"/>
      <c r="B571" s="53"/>
    </row>
    <row r="572">
      <c r="A572" s="53"/>
      <c r="B572" s="53"/>
    </row>
    <row r="573">
      <c r="A573" s="53"/>
      <c r="B573" s="53"/>
    </row>
    <row r="574">
      <c r="A574" s="53"/>
      <c r="B574" s="53"/>
    </row>
    <row r="575">
      <c r="A575" s="53"/>
      <c r="B575" s="53"/>
    </row>
    <row r="576">
      <c r="A576" s="53"/>
      <c r="B576" s="53"/>
    </row>
    <row r="577">
      <c r="A577" s="53"/>
      <c r="B577" s="53"/>
    </row>
    <row r="578">
      <c r="A578" s="53"/>
      <c r="B578" s="53"/>
    </row>
    <row r="579">
      <c r="A579" s="53"/>
      <c r="B579" s="53"/>
    </row>
    <row r="580">
      <c r="A580" s="53"/>
      <c r="B580" s="53"/>
    </row>
    <row r="581">
      <c r="A581" s="53"/>
      <c r="B581" s="53"/>
    </row>
    <row r="582">
      <c r="A582" s="53"/>
      <c r="B582" s="53"/>
    </row>
    <row r="583">
      <c r="A583" s="53"/>
      <c r="B583" s="53"/>
    </row>
    <row r="584">
      <c r="A584" s="53"/>
      <c r="B584" s="53"/>
    </row>
    <row r="585">
      <c r="A585" s="53"/>
      <c r="B585" s="53"/>
    </row>
    <row r="586">
      <c r="A586" s="53"/>
      <c r="B586" s="53"/>
    </row>
    <row r="587">
      <c r="A587" s="53"/>
      <c r="B587" s="53"/>
    </row>
    <row r="588">
      <c r="A588" s="53"/>
      <c r="B588" s="53"/>
    </row>
    <row r="589">
      <c r="A589" s="53"/>
      <c r="B589" s="53"/>
    </row>
    <row r="590">
      <c r="A590" s="53"/>
      <c r="B590" s="53"/>
    </row>
    <row r="591">
      <c r="A591" s="53"/>
      <c r="B591" s="53"/>
    </row>
    <row r="592">
      <c r="A592" s="53"/>
      <c r="B592" s="53"/>
    </row>
    <row r="593">
      <c r="A593" s="53"/>
      <c r="B593" s="53"/>
    </row>
    <row r="594">
      <c r="A594" s="53"/>
      <c r="B594" s="53"/>
    </row>
    <row r="595">
      <c r="A595" s="53"/>
      <c r="B595" s="53"/>
    </row>
    <row r="596">
      <c r="A596" s="53"/>
      <c r="B596" s="53"/>
    </row>
    <row r="597">
      <c r="A597" s="53"/>
      <c r="B597" s="53"/>
    </row>
    <row r="598">
      <c r="A598" s="53"/>
      <c r="B598" s="53"/>
    </row>
    <row r="599">
      <c r="A599" s="53"/>
      <c r="B599" s="53"/>
    </row>
    <row r="600">
      <c r="A600" s="53"/>
      <c r="B600" s="53"/>
    </row>
    <row r="601">
      <c r="A601" s="53"/>
      <c r="B601" s="53"/>
    </row>
    <row r="602">
      <c r="A602" s="53"/>
      <c r="B602" s="53"/>
    </row>
    <row r="603">
      <c r="A603" s="53"/>
      <c r="B603" s="53"/>
    </row>
    <row r="604">
      <c r="A604" s="53"/>
      <c r="B604" s="53"/>
    </row>
    <row r="605">
      <c r="A605" s="53"/>
      <c r="B605" s="53"/>
    </row>
    <row r="606">
      <c r="A606" s="53"/>
      <c r="B606" s="53"/>
    </row>
    <row r="607">
      <c r="A607" s="53"/>
      <c r="B607" s="53"/>
    </row>
    <row r="608">
      <c r="A608" s="53"/>
      <c r="B608" s="53"/>
    </row>
    <row r="609">
      <c r="A609" s="53"/>
      <c r="B609" s="53"/>
    </row>
    <row r="610">
      <c r="A610" s="53"/>
      <c r="B610" s="53"/>
    </row>
    <row r="611">
      <c r="A611" s="53"/>
      <c r="B611" s="53"/>
    </row>
    <row r="612">
      <c r="A612" s="53"/>
      <c r="B612" s="53"/>
    </row>
    <row r="613">
      <c r="A613" s="53"/>
      <c r="B613" s="53"/>
    </row>
    <row r="614">
      <c r="A614" s="53"/>
      <c r="B614" s="53"/>
    </row>
    <row r="615">
      <c r="A615" s="53"/>
      <c r="B615" s="53"/>
    </row>
    <row r="616">
      <c r="A616" s="53"/>
      <c r="B616" s="53"/>
    </row>
    <row r="617">
      <c r="A617" s="53"/>
      <c r="B617" s="53"/>
    </row>
    <row r="618">
      <c r="A618" s="53"/>
      <c r="B618" s="53"/>
    </row>
    <row r="619">
      <c r="A619" s="53"/>
      <c r="B619" s="53"/>
    </row>
    <row r="620">
      <c r="A620" s="53"/>
      <c r="B620" s="53"/>
    </row>
    <row r="621">
      <c r="A621" s="53"/>
      <c r="B621" s="53"/>
    </row>
    <row r="622">
      <c r="A622" s="53"/>
      <c r="B622" s="53"/>
    </row>
    <row r="623">
      <c r="A623" s="53"/>
      <c r="B623" s="53"/>
    </row>
    <row r="624">
      <c r="A624" s="53"/>
      <c r="B624" s="53"/>
    </row>
    <row r="625">
      <c r="A625" s="53"/>
      <c r="B625" s="53"/>
    </row>
    <row r="626">
      <c r="A626" s="53"/>
      <c r="B626" s="53"/>
    </row>
    <row r="627">
      <c r="A627" s="53"/>
      <c r="B627" s="53"/>
    </row>
    <row r="628">
      <c r="A628" s="53"/>
      <c r="B628" s="53"/>
    </row>
    <row r="629">
      <c r="A629" s="53"/>
      <c r="B629" s="53"/>
    </row>
    <row r="630">
      <c r="A630" s="53"/>
      <c r="B630" s="53"/>
    </row>
    <row r="631">
      <c r="A631" s="53"/>
      <c r="B631" s="53"/>
    </row>
    <row r="632">
      <c r="A632" s="53"/>
      <c r="B632" s="53"/>
    </row>
    <row r="633">
      <c r="A633" s="53"/>
      <c r="B633" s="53"/>
    </row>
    <row r="634">
      <c r="A634" s="53"/>
      <c r="B634" s="53"/>
    </row>
    <row r="635">
      <c r="A635" s="53"/>
      <c r="B635" s="53"/>
    </row>
    <row r="636">
      <c r="A636" s="53"/>
      <c r="B636" s="53"/>
    </row>
    <row r="637">
      <c r="A637" s="53"/>
      <c r="B637" s="53"/>
    </row>
    <row r="638">
      <c r="A638" s="53"/>
      <c r="B638" s="53"/>
    </row>
    <row r="639">
      <c r="A639" s="53"/>
      <c r="B639" s="53"/>
    </row>
    <row r="640">
      <c r="A640" s="53"/>
      <c r="B640" s="53"/>
    </row>
    <row r="641">
      <c r="A641" s="53"/>
      <c r="B641" s="53"/>
    </row>
    <row r="642">
      <c r="A642" s="53"/>
      <c r="B642" s="53"/>
    </row>
    <row r="643">
      <c r="A643" s="53"/>
      <c r="B643" s="53"/>
    </row>
    <row r="644">
      <c r="A644" s="53"/>
      <c r="B644" s="53"/>
    </row>
    <row r="645">
      <c r="A645" s="53"/>
      <c r="B645" s="53"/>
    </row>
    <row r="646">
      <c r="A646" s="53"/>
      <c r="B646" s="53"/>
    </row>
    <row r="647">
      <c r="A647" s="53"/>
      <c r="B647" s="53"/>
    </row>
    <row r="648">
      <c r="A648" s="53"/>
      <c r="B648" s="53"/>
    </row>
    <row r="649">
      <c r="A649" s="53"/>
      <c r="B649" s="53"/>
    </row>
    <row r="650">
      <c r="A650" s="53"/>
      <c r="B650" s="53"/>
    </row>
    <row r="651">
      <c r="A651" s="53"/>
      <c r="B651" s="53"/>
    </row>
    <row r="652">
      <c r="A652" s="53"/>
      <c r="B652" s="53"/>
    </row>
    <row r="653">
      <c r="A653" s="53"/>
      <c r="B653" s="53"/>
    </row>
    <row r="654">
      <c r="A654" s="53"/>
      <c r="B654" s="53"/>
    </row>
    <row r="655">
      <c r="A655" s="53"/>
      <c r="B655" s="53"/>
    </row>
    <row r="656">
      <c r="A656" s="53"/>
      <c r="B656" s="53"/>
    </row>
    <row r="657">
      <c r="A657" s="53"/>
      <c r="B657" s="53"/>
    </row>
    <row r="658">
      <c r="A658" s="53"/>
      <c r="B658" s="53"/>
    </row>
    <row r="659">
      <c r="A659" s="53"/>
      <c r="B659" s="53"/>
    </row>
    <row r="660">
      <c r="A660" s="53"/>
      <c r="B660" s="53"/>
    </row>
    <row r="661">
      <c r="A661" s="53"/>
      <c r="B661" s="53"/>
    </row>
    <row r="662">
      <c r="A662" s="53"/>
      <c r="B662" s="53"/>
    </row>
    <row r="663">
      <c r="A663" s="53"/>
      <c r="B663" s="53"/>
    </row>
    <row r="664">
      <c r="A664" s="53"/>
      <c r="B664" s="53"/>
    </row>
    <row r="665">
      <c r="A665" s="53"/>
      <c r="B665" s="53"/>
    </row>
    <row r="666">
      <c r="A666" s="53"/>
      <c r="B666" s="53"/>
    </row>
    <row r="667">
      <c r="A667" s="53"/>
      <c r="B667" s="53"/>
    </row>
    <row r="668">
      <c r="A668" s="53"/>
      <c r="B668" s="53"/>
    </row>
    <row r="669">
      <c r="A669" s="53"/>
      <c r="B669" s="53"/>
    </row>
    <row r="670">
      <c r="A670" s="53"/>
      <c r="B670" s="53"/>
    </row>
    <row r="671">
      <c r="A671" s="53"/>
      <c r="B671" s="53"/>
    </row>
    <row r="672">
      <c r="A672" s="53"/>
      <c r="B672" s="53"/>
    </row>
    <row r="673">
      <c r="A673" s="53"/>
      <c r="B673" s="53"/>
    </row>
    <row r="674">
      <c r="A674" s="53"/>
      <c r="B674" s="53"/>
    </row>
    <row r="675">
      <c r="A675" s="53"/>
      <c r="B675" s="53"/>
    </row>
    <row r="676">
      <c r="A676" s="53"/>
      <c r="B676" s="53"/>
    </row>
    <row r="677">
      <c r="A677" s="53"/>
      <c r="B677" s="53"/>
    </row>
    <row r="678">
      <c r="A678" s="53"/>
      <c r="B678" s="53"/>
    </row>
    <row r="679">
      <c r="A679" s="53"/>
      <c r="B679" s="53"/>
    </row>
    <row r="680">
      <c r="A680" s="53"/>
      <c r="B680" s="53"/>
    </row>
    <row r="681">
      <c r="A681" s="53"/>
      <c r="B681" s="53"/>
    </row>
    <row r="682">
      <c r="A682" s="53"/>
      <c r="B682" s="53"/>
    </row>
    <row r="683">
      <c r="A683" s="53"/>
      <c r="B683" s="53"/>
    </row>
    <row r="684">
      <c r="A684" s="53"/>
      <c r="B684" s="53"/>
    </row>
    <row r="685">
      <c r="A685" s="53"/>
      <c r="B685" s="53"/>
    </row>
    <row r="686">
      <c r="A686" s="53"/>
      <c r="B686" s="53"/>
    </row>
    <row r="687">
      <c r="A687" s="53"/>
      <c r="B687" s="53"/>
    </row>
    <row r="688">
      <c r="A688" s="53"/>
      <c r="B688" s="53"/>
    </row>
    <row r="689">
      <c r="A689" s="53"/>
      <c r="B689" s="53"/>
    </row>
    <row r="690">
      <c r="A690" s="53"/>
      <c r="B690" s="53"/>
    </row>
    <row r="691">
      <c r="A691" s="53"/>
      <c r="B691" s="53"/>
    </row>
    <row r="692">
      <c r="A692" s="53"/>
      <c r="B692" s="53"/>
    </row>
    <row r="693">
      <c r="A693" s="53"/>
      <c r="B693" s="53"/>
    </row>
    <row r="694">
      <c r="A694" s="53"/>
      <c r="B694" s="53"/>
    </row>
    <row r="695">
      <c r="A695" s="53"/>
      <c r="B695" s="53"/>
    </row>
    <row r="696">
      <c r="A696" s="53"/>
      <c r="B696" s="53"/>
    </row>
    <row r="697">
      <c r="A697" s="53"/>
      <c r="B697" s="53"/>
    </row>
    <row r="698">
      <c r="A698" s="53"/>
      <c r="B698" s="53"/>
    </row>
    <row r="699">
      <c r="A699" s="53"/>
      <c r="B699" s="53"/>
    </row>
    <row r="700">
      <c r="A700" s="53"/>
      <c r="B700" s="53"/>
    </row>
    <row r="701">
      <c r="A701" s="53"/>
      <c r="B701" s="53"/>
    </row>
    <row r="702">
      <c r="A702" s="53"/>
      <c r="B702" s="53"/>
    </row>
    <row r="703">
      <c r="A703" s="53"/>
      <c r="B703" s="53"/>
    </row>
    <row r="704">
      <c r="A704" s="53"/>
      <c r="B704" s="53"/>
    </row>
    <row r="705">
      <c r="A705" s="53"/>
      <c r="B705" s="53"/>
    </row>
    <row r="706">
      <c r="A706" s="53"/>
      <c r="B706" s="53"/>
    </row>
    <row r="707">
      <c r="A707" s="53"/>
      <c r="B707" s="53"/>
    </row>
    <row r="708">
      <c r="A708" s="53"/>
      <c r="B708" s="53"/>
    </row>
    <row r="709">
      <c r="A709" s="53"/>
      <c r="B709" s="53"/>
    </row>
    <row r="710">
      <c r="A710" s="53"/>
      <c r="B710" s="53"/>
    </row>
    <row r="711">
      <c r="A711" s="53"/>
      <c r="B711" s="53"/>
    </row>
    <row r="712">
      <c r="A712" s="53"/>
      <c r="B712" s="53"/>
    </row>
    <row r="713">
      <c r="A713" s="53"/>
      <c r="B713" s="53"/>
    </row>
    <row r="714">
      <c r="A714" s="53"/>
      <c r="B714" s="53"/>
    </row>
    <row r="715">
      <c r="A715" s="53"/>
      <c r="B715" s="53"/>
    </row>
    <row r="716">
      <c r="A716" s="53"/>
      <c r="B716" s="53"/>
    </row>
    <row r="717">
      <c r="A717" s="53"/>
      <c r="B717" s="53"/>
    </row>
    <row r="718">
      <c r="A718" s="53"/>
      <c r="B718" s="53"/>
    </row>
    <row r="719">
      <c r="A719" s="53"/>
      <c r="B719" s="53"/>
    </row>
    <row r="720">
      <c r="A720" s="53"/>
      <c r="B720" s="53"/>
    </row>
    <row r="721">
      <c r="A721" s="53"/>
      <c r="B721" s="53"/>
    </row>
    <row r="722">
      <c r="A722" s="53"/>
      <c r="B722" s="53"/>
    </row>
    <row r="723">
      <c r="A723" s="53"/>
      <c r="B723" s="53"/>
    </row>
    <row r="724">
      <c r="A724" s="53"/>
      <c r="B724" s="53"/>
    </row>
    <row r="725">
      <c r="A725" s="53"/>
      <c r="B725" s="53"/>
    </row>
    <row r="726">
      <c r="A726" s="53"/>
      <c r="B726" s="53"/>
    </row>
    <row r="727">
      <c r="A727" s="53"/>
      <c r="B727" s="53"/>
    </row>
    <row r="728">
      <c r="A728" s="53"/>
      <c r="B728" s="53"/>
    </row>
    <row r="729">
      <c r="A729" s="53"/>
      <c r="B729" s="53"/>
    </row>
    <row r="730">
      <c r="A730" s="53"/>
      <c r="B730" s="53"/>
    </row>
    <row r="731">
      <c r="A731" s="53"/>
      <c r="B731" s="53"/>
    </row>
    <row r="732">
      <c r="A732" s="53"/>
      <c r="B732" s="53"/>
    </row>
    <row r="733">
      <c r="A733" s="53"/>
      <c r="B733" s="53"/>
    </row>
    <row r="734">
      <c r="A734" s="53"/>
      <c r="B734" s="53"/>
    </row>
    <row r="735">
      <c r="A735" s="53"/>
      <c r="B735" s="53"/>
    </row>
    <row r="736">
      <c r="A736" s="53"/>
      <c r="B736" s="53"/>
    </row>
    <row r="737">
      <c r="A737" s="53"/>
      <c r="B737" s="53"/>
    </row>
    <row r="738">
      <c r="A738" s="53"/>
      <c r="B738" s="53"/>
    </row>
    <row r="739">
      <c r="A739" s="53"/>
      <c r="B739" s="53"/>
    </row>
    <row r="740">
      <c r="A740" s="53"/>
      <c r="B740" s="53"/>
    </row>
    <row r="741">
      <c r="A741" s="53"/>
      <c r="B741" s="53"/>
    </row>
    <row r="742">
      <c r="A742" s="53"/>
      <c r="B742" s="53"/>
    </row>
    <row r="743">
      <c r="A743" s="53"/>
      <c r="B743" s="53"/>
    </row>
    <row r="744">
      <c r="A744" s="53"/>
      <c r="B744" s="53"/>
    </row>
    <row r="745">
      <c r="A745" s="53"/>
      <c r="B745" s="53"/>
    </row>
    <row r="746">
      <c r="A746" s="53"/>
      <c r="B746" s="53"/>
    </row>
    <row r="747">
      <c r="A747" s="53"/>
      <c r="B747" s="53"/>
    </row>
    <row r="748">
      <c r="A748" s="53"/>
      <c r="B748" s="53"/>
    </row>
    <row r="749">
      <c r="A749" s="53"/>
      <c r="B749" s="53"/>
    </row>
    <row r="750">
      <c r="A750" s="53"/>
      <c r="B750" s="53"/>
    </row>
    <row r="751">
      <c r="A751" s="53"/>
      <c r="B751" s="53"/>
    </row>
    <row r="752">
      <c r="A752" s="53"/>
      <c r="B752" s="53"/>
    </row>
    <row r="753">
      <c r="A753" s="53"/>
      <c r="B753" s="53"/>
    </row>
    <row r="754">
      <c r="A754" s="53"/>
      <c r="B754" s="53"/>
    </row>
    <row r="755">
      <c r="A755" s="53"/>
      <c r="B755" s="53"/>
    </row>
    <row r="756">
      <c r="A756" s="53"/>
      <c r="B756" s="53"/>
    </row>
    <row r="757">
      <c r="A757" s="53"/>
      <c r="B757" s="53"/>
    </row>
    <row r="758">
      <c r="A758" s="53"/>
      <c r="B758" s="53"/>
    </row>
    <row r="759">
      <c r="A759" s="53"/>
      <c r="B759" s="53"/>
    </row>
    <row r="760">
      <c r="A760" s="53"/>
      <c r="B760" s="53"/>
    </row>
    <row r="761">
      <c r="A761" s="53"/>
      <c r="B761" s="53"/>
    </row>
    <row r="762">
      <c r="A762" s="53"/>
      <c r="B762" s="53"/>
    </row>
    <row r="763">
      <c r="A763" s="53"/>
      <c r="B763" s="53"/>
    </row>
    <row r="764">
      <c r="A764" s="53"/>
      <c r="B764" s="53"/>
    </row>
    <row r="765">
      <c r="A765" s="53"/>
      <c r="B765" s="53"/>
    </row>
    <row r="766">
      <c r="A766" s="53"/>
      <c r="B766" s="53"/>
    </row>
    <row r="767">
      <c r="A767" s="53"/>
      <c r="B767" s="53"/>
    </row>
    <row r="768">
      <c r="A768" s="53"/>
      <c r="B768" s="53"/>
    </row>
    <row r="769">
      <c r="A769" s="53"/>
      <c r="B769" s="53"/>
    </row>
    <row r="770">
      <c r="A770" s="53"/>
      <c r="B770" s="53"/>
    </row>
    <row r="771">
      <c r="A771" s="53"/>
      <c r="B771" s="53"/>
    </row>
    <row r="772">
      <c r="A772" s="53"/>
      <c r="B772" s="53"/>
    </row>
    <row r="773">
      <c r="A773" s="53"/>
      <c r="B773" s="53"/>
    </row>
    <row r="774">
      <c r="A774" s="53"/>
      <c r="B774" s="53"/>
    </row>
    <row r="775">
      <c r="A775" s="53"/>
      <c r="B775" s="53"/>
    </row>
    <row r="776">
      <c r="A776" s="53"/>
      <c r="B776" s="53"/>
    </row>
    <row r="777">
      <c r="A777" s="53"/>
      <c r="B777" s="53"/>
    </row>
    <row r="778">
      <c r="A778" s="53"/>
      <c r="B778" s="53"/>
    </row>
    <row r="779">
      <c r="A779" s="53"/>
      <c r="B779" s="53"/>
    </row>
    <row r="780">
      <c r="A780" s="53"/>
      <c r="B780" s="53"/>
    </row>
    <row r="781">
      <c r="A781" s="53"/>
      <c r="B781" s="53"/>
    </row>
    <row r="782">
      <c r="A782" s="53"/>
      <c r="B782" s="53"/>
    </row>
    <row r="783">
      <c r="A783" s="53"/>
      <c r="B783" s="53"/>
    </row>
    <row r="784">
      <c r="A784" s="53"/>
      <c r="B784" s="53"/>
    </row>
    <row r="785">
      <c r="A785" s="53"/>
      <c r="B785" s="53"/>
    </row>
    <row r="786">
      <c r="A786" s="53"/>
      <c r="B786" s="53"/>
    </row>
    <row r="787">
      <c r="A787" s="53"/>
      <c r="B787" s="53"/>
    </row>
    <row r="788">
      <c r="A788" s="53"/>
      <c r="B788" s="53"/>
    </row>
    <row r="789">
      <c r="A789" s="53"/>
      <c r="B789" s="53"/>
    </row>
    <row r="790">
      <c r="A790" s="53"/>
      <c r="B790" s="53"/>
    </row>
    <row r="791">
      <c r="A791" s="53"/>
      <c r="B791" s="53"/>
    </row>
    <row r="792">
      <c r="A792" s="53"/>
      <c r="B792" s="53"/>
    </row>
    <row r="793">
      <c r="A793" s="53"/>
      <c r="B793" s="53"/>
    </row>
    <row r="794">
      <c r="A794" s="53"/>
      <c r="B794" s="53"/>
    </row>
    <row r="795">
      <c r="A795" s="53"/>
      <c r="B795" s="53"/>
    </row>
    <row r="796">
      <c r="A796" s="53"/>
      <c r="B796" s="53"/>
    </row>
    <row r="797">
      <c r="A797" s="53"/>
      <c r="B797" s="53"/>
    </row>
    <row r="798">
      <c r="A798" s="53"/>
      <c r="B798" s="53"/>
    </row>
    <row r="799">
      <c r="A799" s="53"/>
      <c r="B799" s="53"/>
    </row>
    <row r="800">
      <c r="A800" s="53"/>
      <c r="B800" s="53"/>
    </row>
    <row r="801">
      <c r="A801" s="53"/>
      <c r="B801" s="53"/>
    </row>
    <row r="802">
      <c r="A802" s="53"/>
      <c r="B802" s="53"/>
    </row>
    <row r="803">
      <c r="A803" s="53"/>
      <c r="B803" s="53"/>
    </row>
    <row r="804">
      <c r="A804" s="53"/>
      <c r="B804" s="53"/>
    </row>
    <row r="805">
      <c r="A805" s="53"/>
      <c r="B805" s="53"/>
    </row>
    <row r="806">
      <c r="A806" s="53"/>
      <c r="B806" s="53"/>
    </row>
    <row r="807">
      <c r="A807" s="53"/>
      <c r="B807" s="53"/>
    </row>
    <row r="808">
      <c r="A808" s="53"/>
      <c r="B808" s="53"/>
    </row>
    <row r="809">
      <c r="A809" s="53"/>
      <c r="B809" s="53"/>
    </row>
    <row r="810">
      <c r="A810" s="53"/>
      <c r="B810" s="53"/>
    </row>
    <row r="811">
      <c r="A811" s="53"/>
      <c r="B811" s="53"/>
    </row>
    <row r="812">
      <c r="A812" s="53"/>
      <c r="B812" s="53"/>
    </row>
    <row r="813">
      <c r="A813" s="53"/>
      <c r="B813" s="53"/>
    </row>
    <row r="814">
      <c r="A814" s="53"/>
      <c r="B814" s="53"/>
    </row>
    <row r="815">
      <c r="A815" s="53"/>
      <c r="B815" s="53"/>
    </row>
    <row r="816">
      <c r="A816" s="53"/>
      <c r="B816" s="53"/>
    </row>
    <row r="817">
      <c r="A817" s="53"/>
      <c r="B817" s="53"/>
    </row>
    <row r="818">
      <c r="A818" s="53"/>
      <c r="B818" s="53"/>
    </row>
    <row r="819">
      <c r="A819" s="53"/>
      <c r="B819" s="53"/>
    </row>
    <row r="820">
      <c r="A820" s="53"/>
      <c r="B820" s="53"/>
    </row>
    <row r="821">
      <c r="A821" s="53"/>
      <c r="B821" s="53"/>
    </row>
    <row r="822">
      <c r="A822" s="53"/>
      <c r="B822" s="53"/>
    </row>
    <row r="823">
      <c r="A823" s="53"/>
      <c r="B823" s="53"/>
    </row>
    <row r="824">
      <c r="A824" s="53"/>
      <c r="B824" s="53"/>
    </row>
    <row r="825">
      <c r="A825" s="53"/>
      <c r="B825" s="53"/>
    </row>
    <row r="826">
      <c r="A826" s="53"/>
      <c r="B826" s="53"/>
    </row>
    <row r="827">
      <c r="A827" s="53"/>
      <c r="B827" s="53"/>
    </row>
    <row r="828">
      <c r="A828" s="53"/>
      <c r="B828" s="53"/>
    </row>
    <row r="829">
      <c r="A829" s="53"/>
      <c r="B829" s="53"/>
    </row>
    <row r="830">
      <c r="A830" s="53"/>
      <c r="B830" s="53"/>
    </row>
    <row r="831">
      <c r="A831" s="53"/>
      <c r="B831" s="53"/>
    </row>
    <row r="832">
      <c r="A832" s="53"/>
      <c r="B832" s="53"/>
    </row>
    <row r="833">
      <c r="A833" s="53"/>
      <c r="B833" s="53"/>
    </row>
    <row r="834">
      <c r="A834" s="53"/>
      <c r="B834" s="53"/>
    </row>
    <row r="835">
      <c r="A835" s="53"/>
      <c r="B835" s="53"/>
    </row>
    <row r="836">
      <c r="A836" s="53"/>
      <c r="B836" s="53"/>
    </row>
    <row r="837">
      <c r="A837" s="53"/>
      <c r="B837" s="53"/>
    </row>
    <row r="838">
      <c r="A838" s="53"/>
      <c r="B838" s="53"/>
    </row>
    <row r="839">
      <c r="A839" s="53"/>
      <c r="B839" s="53"/>
    </row>
    <row r="840">
      <c r="A840" s="53"/>
      <c r="B840" s="53"/>
    </row>
    <row r="841">
      <c r="A841" s="53"/>
      <c r="B841" s="53"/>
    </row>
    <row r="842">
      <c r="A842" s="53"/>
      <c r="B842" s="53"/>
    </row>
    <row r="843">
      <c r="A843" s="53"/>
      <c r="B843" s="53"/>
    </row>
    <row r="844">
      <c r="A844" s="53"/>
      <c r="B844" s="53"/>
    </row>
    <row r="845">
      <c r="A845" s="53"/>
      <c r="B845" s="53"/>
    </row>
    <row r="846">
      <c r="A846" s="53"/>
      <c r="B846" s="53"/>
    </row>
    <row r="847">
      <c r="A847" s="53"/>
      <c r="B847" s="53"/>
    </row>
    <row r="848">
      <c r="A848" s="53"/>
      <c r="B848" s="53"/>
    </row>
    <row r="849">
      <c r="A849" s="53"/>
      <c r="B849" s="53"/>
    </row>
    <row r="850">
      <c r="A850" s="53"/>
      <c r="B850" s="53"/>
    </row>
    <row r="851">
      <c r="A851" s="53"/>
      <c r="B851" s="53"/>
    </row>
    <row r="852">
      <c r="A852" s="53"/>
      <c r="B852" s="53"/>
    </row>
    <row r="853">
      <c r="A853" s="53"/>
      <c r="B853" s="53"/>
    </row>
    <row r="854">
      <c r="A854" s="53"/>
      <c r="B854" s="53"/>
    </row>
    <row r="855">
      <c r="A855" s="53"/>
      <c r="B855" s="53"/>
    </row>
    <row r="856">
      <c r="A856" s="53"/>
      <c r="B856" s="53"/>
    </row>
    <row r="857">
      <c r="A857" s="53"/>
      <c r="B857" s="53"/>
    </row>
    <row r="858">
      <c r="A858" s="53"/>
      <c r="B858" s="53"/>
    </row>
    <row r="859">
      <c r="A859" s="53"/>
      <c r="B859" s="53"/>
    </row>
    <row r="860">
      <c r="A860" s="53"/>
      <c r="B860" s="53"/>
    </row>
    <row r="861">
      <c r="A861" s="53"/>
      <c r="B861" s="53"/>
    </row>
    <row r="862">
      <c r="A862" s="53"/>
      <c r="B862" s="53"/>
    </row>
    <row r="863">
      <c r="A863" s="53"/>
      <c r="B863" s="53"/>
    </row>
    <row r="864">
      <c r="A864" s="53"/>
      <c r="B864" s="53"/>
    </row>
    <row r="865">
      <c r="A865" s="53"/>
      <c r="B865" s="53"/>
    </row>
    <row r="866">
      <c r="A866" s="53"/>
      <c r="B866" s="53"/>
    </row>
    <row r="867">
      <c r="A867" s="53"/>
      <c r="B867" s="53"/>
    </row>
    <row r="868">
      <c r="A868" s="53"/>
      <c r="B868" s="53"/>
    </row>
    <row r="869">
      <c r="A869" s="53"/>
      <c r="B869" s="53"/>
    </row>
    <row r="870">
      <c r="A870" s="53"/>
      <c r="B870" s="53"/>
    </row>
    <row r="871">
      <c r="A871" s="53"/>
      <c r="B871" s="53"/>
    </row>
    <row r="872">
      <c r="A872" s="53"/>
      <c r="B872" s="53"/>
    </row>
    <row r="873">
      <c r="A873" s="53"/>
      <c r="B873" s="53"/>
    </row>
    <row r="874">
      <c r="A874" s="53"/>
      <c r="B874" s="53"/>
    </row>
    <row r="875">
      <c r="A875" s="53"/>
      <c r="B875" s="53"/>
    </row>
    <row r="876">
      <c r="A876" s="53"/>
      <c r="B876" s="53"/>
    </row>
    <row r="877">
      <c r="A877" s="53"/>
      <c r="B877" s="53"/>
    </row>
    <row r="878">
      <c r="A878" s="53"/>
      <c r="B878" s="53"/>
    </row>
    <row r="879">
      <c r="A879" s="53"/>
      <c r="B879" s="53"/>
    </row>
    <row r="880">
      <c r="A880" s="53"/>
      <c r="B880" s="53"/>
    </row>
    <row r="881">
      <c r="A881" s="53"/>
      <c r="B881" s="53"/>
    </row>
    <row r="882">
      <c r="A882" s="53"/>
      <c r="B882" s="53"/>
    </row>
    <row r="883">
      <c r="A883" s="53"/>
      <c r="B883" s="53"/>
    </row>
    <row r="884">
      <c r="A884" s="53"/>
      <c r="B884" s="53"/>
    </row>
    <row r="885">
      <c r="A885" s="53"/>
      <c r="B885" s="53"/>
    </row>
    <row r="886">
      <c r="A886" s="53"/>
      <c r="B886" s="53"/>
    </row>
    <row r="887">
      <c r="A887" s="53"/>
      <c r="B887" s="53"/>
    </row>
    <row r="888">
      <c r="A888" s="53"/>
      <c r="B888" s="53"/>
    </row>
    <row r="889">
      <c r="A889" s="53"/>
      <c r="B889" s="53"/>
    </row>
    <row r="890">
      <c r="A890" s="53"/>
      <c r="B890" s="53"/>
    </row>
    <row r="891">
      <c r="A891" s="53"/>
      <c r="B891" s="53"/>
    </row>
    <row r="892">
      <c r="A892" s="53"/>
      <c r="B892" s="53"/>
    </row>
    <row r="893">
      <c r="A893" s="53"/>
      <c r="B893" s="53"/>
    </row>
    <row r="894">
      <c r="A894" s="53"/>
      <c r="B894" s="53"/>
    </row>
    <row r="895">
      <c r="A895" s="53"/>
      <c r="B895" s="53"/>
    </row>
    <row r="896">
      <c r="A896" s="53"/>
      <c r="B896" s="53"/>
    </row>
    <row r="897">
      <c r="A897" s="53"/>
      <c r="B897" s="53"/>
    </row>
    <row r="898">
      <c r="A898" s="53"/>
      <c r="B898" s="53"/>
    </row>
    <row r="899">
      <c r="A899" s="53"/>
      <c r="B899" s="53"/>
    </row>
    <row r="900">
      <c r="A900" s="53"/>
      <c r="B900" s="53"/>
    </row>
    <row r="901">
      <c r="A901" s="53"/>
      <c r="B901" s="53"/>
    </row>
    <row r="902">
      <c r="A902" s="53"/>
      <c r="B902" s="53"/>
    </row>
    <row r="903">
      <c r="A903" s="53"/>
      <c r="B903" s="53"/>
    </row>
    <row r="904">
      <c r="A904" s="53"/>
      <c r="B904" s="53"/>
    </row>
    <row r="905">
      <c r="A905" s="53"/>
      <c r="B905" s="53"/>
    </row>
    <row r="906">
      <c r="A906" s="53"/>
      <c r="B906" s="53"/>
    </row>
    <row r="907">
      <c r="A907" s="53"/>
      <c r="B907" s="53"/>
    </row>
    <row r="908">
      <c r="A908" s="53"/>
      <c r="B908" s="53"/>
    </row>
    <row r="909">
      <c r="A909" s="53"/>
      <c r="B909" s="53"/>
    </row>
    <row r="910">
      <c r="A910" s="53"/>
      <c r="B910" s="53"/>
    </row>
    <row r="911">
      <c r="A911" s="53"/>
      <c r="B911" s="53"/>
    </row>
    <row r="912">
      <c r="A912" s="53"/>
      <c r="B912" s="53"/>
    </row>
    <row r="913">
      <c r="A913" s="53"/>
      <c r="B913" s="53"/>
    </row>
    <row r="914">
      <c r="A914" s="53"/>
      <c r="B914" s="53"/>
    </row>
    <row r="915">
      <c r="A915" s="53"/>
      <c r="B915" s="53"/>
    </row>
    <row r="916">
      <c r="A916" s="53"/>
      <c r="B916" s="53"/>
    </row>
    <row r="917">
      <c r="A917" s="53"/>
      <c r="B917" s="53"/>
    </row>
    <row r="918">
      <c r="A918" s="53"/>
      <c r="B918" s="53"/>
    </row>
    <row r="919">
      <c r="A919" s="53"/>
      <c r="B919" s="53"/>
    </row>
    <row r="920">
      <c r="A920" s="53"/>
      <c r="B920" s="53"/>
    </row>
    <row r="921">
      <c r="A921" s="53"/>
      <c r="B921" s="53"/>
    </row>
    <row r="922">
      <c r="A922" s="53"/>
      <c r="B922" s="53"/>
    </row>
    <row r="923">
      <c r="A923" s="53"/>
      <c r="B923" s="53"/>
    </row>
    <row r="924">
      <c r="A924" s="53"/>
      <c r="B924" s="53"/>
    </row>
    <row r="925">
      <c r="A925" s="53"/>
      <c r="B925" s="53"/>
    </row>
    <row r="926">
      <c r="A926" s="53"/>
      <c r="B926" s="53"/>
    </row>
    <row r="927">
      <c r="A927" s="53"/>
      <c r="B927" s="53"/>
    </row>
    <row r="928">
      <c r="A928" s="53"/>
      <c r="B928" s="53"/>
    </row>
    <row r="929">
      <c r="A929" s="53"/>
      <c r="B929" s="53"/>
    </row>
    <row r="930">
      <c r="A930" s="53"/>
      <c r="B930" s="53"/>
    </row>
    <row r="931">
      <c r="A931" s="53"/>
      <c r="B931" s="53"/>
    </row>
    <row r="932">
      <c r="A932" s="53"/>
      <c r="B932" s="53"/>
    </row>
    <row r="933">
      <c r="A933" s="53"/>
      <c r="B933" s="53"/>
    </row>
    <row r="934">
      <c r="A934" s="53"/>
      <c r="B934" s="53"/>
    </row>
    <row r="935">
      <c r="A935" s="53"/>
      <c r="B935" s="53"/>
    </row>
    <row r="936">
      <c r="A936" s="53"/>
      <c r="B936" s="53"/>
    </row>
    <row r="937">
      <c r="A937" s="53"/>
      <c r="B937" s="53"/>
    </row>
    <row r="938">
      <c r="A938" s="53"/>
      <c r="B938" s="53"/>
    </row>
    <row r="939">
      <c r="A939" s="53"/>
      <c r="B939" s="53"/>
    </row>
    <row r="940">
      <c r="A940" s="53"/>
      <c r="B940" s="53"/>
    </row>
    <row r="941">
      <c r="A941" s="53"/>
      <c r="B941" s="53"/>
    </row>
    <row r="942">
      <c r="A942" s="53"/>
      <c r="B942" s="53"/>
    </row>
    <row r="943">
      <c r="A943" s="53"/>
      <c r="B943" s="53"/>
    </row>
    <row r="944">
      <c r="A944" s="53"/>
      <c r="B944" s="53"/>
    </row>
    <row r="945">
      <c r="A945" s="53"/>
      <c r="B945" s="53"/>
    </row>
    <row r="946">
      <c r="A946" s="53"/>
      <c r="B946" s="53"/>
    </row>
    <row r="947">
      <c r="A947" s="53"/>
      <c r="B947" s="53"/>
    </row>
    <row r="948">
      <c r="A948" s="53"/>
      <c r="B948" s="53"/>
    </row>
    <row r="949">
      <c r="A949" s="53"/>
      <c r="B949" s="53"/>
    </row>
    <row r="950">
      <c r="A950" s="53"/>
      <c r="B950" s="53"/>
    </row>
    <row r="951">
      <c r="A951" s="53"/>
      <c r="B951" s="53"/>
    </row>
    <row r="952">
      <c r="A952" s="53"/>
      <c r="B952" s="53"/>
    </row>
    <row r="953">
      <c r="A953" s="53"/>
      <c r="B953" s="53"/>
    </row>
    <row r="954">
      <c r="A954" s="53"/>
      <c r="B954" s="53"/>
    </row>
    <row r="955">
      <c r="A955" s="53"/>
      <c r="B955" s="53"/>
    </row>
    <row r="956">
      <c r="A956" s="53"/>
      <c r="B956" s="53"/>
    </row>
    <row r="957">
      <c r="A957" s="53"/>
      <c r="B957" s="53"/>
    </row>
    <row r="958">
      <c r="A958" s="53"/>
      <c r="B958" s="53"/>
    </row>
    <row r="959">
      <c r="A959" s="53"/>
      <c r="B959" s="53"/>
    </row>
    <row r="960">
      <c r="A960" s="53"/>
      <c r="B960" s="53"/>
    </row>
    <row r="961">
      <c r="A961" s="53"/>
      <c r="B961" s="53"/>
    </row>
    <row r="962">
      <c r="A962" s="53"/>
      <c r="B962" s="53"/>
    </row>
    <row r="963">
      <c r="A963" s="53"/>
      <c r="B963" s="53"/>
    </row>
    <row r="964">
      <c r="A964" s="53"/>
      <c r="B964" s="53"/>
    </row>
    <row r="965">
      <c r="A965" s="53"/>
      <c r="B965" s="53"/>
    </row>
    <row r="966">
      <c r="A966" s="53"/>
      <c r="B966" s="53"/>
    </row>
    <row r="967">
      <c r="A967" s="53"/>
      <c r="B967" s="53"/>
    </row>
    <row r="968">
      <c r="A968" s="53"/>
      <c r="B968" s="53"/>
    </row>
    <row r="969">
      <c r="A969" s="53"/>
      <c r="B969" s="53"/>
    </row>
    <row r="970">
      <c r="A970" s="53"/>
      <c r="B970" s="53"/>
    </row>
    <row r="971">
      <c r="A971" s="53"/>
      <c r="B971" s="53"/>
    </row>
    <row r="972">
      <c r="A972" s="53"/>
      <c r="B972" s="53"/>
    </row>
    <row r="973">
      <c r="A973" s="53"/>
      <c r="B973" s="53"/>
    </row>
    <row r="974">
      <c r="A974" s="53"/>
      <c r="B974" s="53"/>
    </row>
    <row r="975">
      <c r="A975" s="53"/>
      <c r="B975" s="53"/>
    </row>
    <row r="976">
      <c r="A976" s="53"/>
      <c r="B976" s="53"/>
    </row>
    <row r="977">
      <c r="A977" s="53"/>
      <c r="B977" s="53"/>
    </row>
    <row r="978">
      <c r="A978" s="53"/>
      <c r="B978" s="53"/>
    </row>
    <row r="979">
      <c r="A979" s="53"/>
      <c r="B979" s="53"/>
    </row>
    <row r="980">
      <c r="A980" s="53"/>
      <c r="B980" s="53"/>
    </row>
    <row r="981">
      <c r="A981" s="53"/>
      <c r="B981" s="53"/>
    </row>
    <row r="982">
      <c r="A982" s="53"/>
      <c r="B982" s="53"/>
    </row>
    <row r="983">
      <c r="A983" s="53"/>
      <c r="B983" s="53"/>
    </row>
    <row r="984">
      <c r="A984" s="53"/>
      <c r="B984" s="53"/>
    </row>
    <row r="985">
      <c r="A985" s="53"/>
      <c r="B985" s="53"/>
    </row>
    <row r="986">
      <c r="A986" s="53"/>
      <c r="B986" s="53"/>
    </row>
    <row r="987">
      <c r="A987" s="53"/>
      <c r="B987" s="53"/>
    </row>
    <row r="988">
      <c r="A988" s="53"/>
      <c r="B988" s="53"/>
    </row>
    <row r="989">
      <c r="A989" s="53"/>
      <c r="B989" s="53"/>
    </row>
    <row r="990">
      <c r="A990" s="53"/>
      <c r="B990" s="53"/>
    </row>
    <row r="991">
      <c r="A991" s="53"/>
      <c r="B991" s="53"/>
    </row>
    <row r="992">
      <c r="A992" s="53"/>
      <c r="B992" s="53"/>
    </row>
    <row r="993">
      <c r="A993" s="53"/>
      <c r="B993" s="53"/>
    </row>
    <row r="994">
      <c r="A994" s="53"/>
      <c r="B994" s="53"/>
    </row>
    <row r="995">
      <c r="A995" s="53"/>
      <c r="B995" s="53"/>
    </row>
    <row r="996">
      <c r="A996" s="53"/>
      <c r="B996" s="53"/>
    </row>
    <row r="997">
      <c r="A997" s="53"/>
      <c r="B997" s="53"/>
    </row>
    <row r="998">
      <c r="A998" s="53"/>
      <c r="B998" s="53"/>
    </row>
    <row r="999">
      <c r="A999" s="53"/>
      <c r="B999" s="53"/>
    </row>
    <row r="1000">
      <c r="A1000" s="53"/>
      <c r="B1000" s="53"/>
    </row>
    <row r="1001">
      <c r="A1001" s="53"/>
      <c r="B1001" s="53"/>
    </row>
    <row r="1002">
      <c r="A1002" s="53"/>
      <c r="B1002" s="53"/>
    </row>
    <row r="1003">
      <c r="A1003" s="53"/>
      <c r="B1003" s="53"/>
    </row>
    <row r="1004">
      <c r="A1004" s="53"/>
      <c r="B1004" s="53"/>
    </row>
  </sheetData>
  <mergeCells count="6">
    <mergeCell ref="F2:I18"/>
    <mergeCell ref="F19:J20"/>
    <mergeCell ref="G21:J21"/>
    <mergeCell ref="G22:J22"/>
    <mergeCell ref="G23:J23"/>
    <mergeCell ref="G24:J24"/>
  </mergeCells>
  <drawing r:id="rId1"/>
</worksheet>
</file>